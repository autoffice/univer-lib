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6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ll" r:id="rId3" sheetId="1"/>
    <sheet name="Formula" r:id="rId4" sheetId="2"/>
    <sheet name="Conditional Format" r:id="rId5" sheetId="3"/>
    <sheet name="Table" r:id="rId6" sheetId="4"/>
    <sheet name="Sparkline" r:id="rId7" sheetId="5"/>
    <sheet name="Comment" r:id="rId8" sheetId="6"/>
    <sheet name="PivotTableData" r:id="rId9" sheetId="7" state="visible"/>
    <sheet name="PivotTable" r:id="rId10" sheetId="8"/>
    <sheet name="Chart" r:id="rId11" sheetId="9"/>
    <sheet name="Picture" r:id="rId12" sheetId="10"/>
    <sheet name="Data Verification" r:id="rId13" sheetId="11"/>
  </sheets>
</workbook>
</file>

<file path=xl/comments6.xml><?xml version="1.0" encoding="utf-8"?>
<comments xmlns="http://schemas.openxmlformats.org/spreadsheetml/2006/main">
  <authors>
    <author/>
  </authors>
  <commentList>
    <comment ref="C3" authorId="0">
      <text>
        <r>
          <t/>
        </r>
        <r>
          <t>Hello world!</t>
        </r>
      </text>
    </comment>
    <comment ref="C8" authorId="0">
      <text>
        <r>
          <t/>
        </r>
        <r>
          <t>Hello,world!</t>
        </r>
      </text>
    </comment>
  </commentList>
</comments>
</file>

<file path=xl/sharedStrings.xml><?xml version="1.0" encoding="utf-8"?>
<sst xmlns="http://schemas.openxmlformats.org/spreadsheetml/2006/main" count="361" uniqueCount="248">
  <si>
    <t>Background</t>
  </si>
  <si>
    <t>Border</t>
  </si>
  <si>
    <r>
      <t/>
    </r>
    <r>
      <rPr>
        <u val="none"/>
        <color rgb="FFFF0000"/>
        <sz val="12.0"/>
        <rFont val="Arial"/>
      </rPr>
      <t>Inline</t>
    </r>
    <r>
      <rPr>
        <u val="none"/>
        <color rgb="FF000000"/>
        <sz val="12.0"/>
        <rFont val="Arial"/>
      </rPr>
      <t xml:space="preserve"> </t>
    </r>
    <r>
      <rPr>
        <u val="none"/>
        <i val="true"/>
        <color rgb="FF000000"/>
        <sz val="16.0"/>
        <rFont val="Arial"/>
        <strike val="true"/>
      </rPr>
      <t>Style</t>
    </r>
    <r>
      <rPr>
        <u val="none"/>
        <color rgb="FF000000"/>
        <sz val="12.0"/>
        <rFont val="Arial"/>
      </rPr>
      <t xml:space="preserve"> </t>
    </r>
    <r>
      <rPr>
        <b val="true"/>
        <u val="none"/>
        <color rgb="FF000000"/>
        <sz val="12.0"/>
        <rFont val="Arial"/>
      </rPr>
      <t>Cell</t>
    </r>
  </si>
  <si>
    <t>Span</t>
  </si>
  <si>
    <t>Font</t>
  </si>
  <si>
    <t>Luckysheet</t>
  </si>
  <si>
    <t>Format</t>
  </si>
  <si>
    <t>Alignment</t>
  </si>
  <si>
    <t>Top Left</t>
  </si>
  <si>
    <t>Top Center</t>
  </si>
  <si>
    <t>Top Right</t>
  </si>
  <si>
    <t>Center Left</t>
  </si>
  <si>
    <t>Center Center</t>
  </si>
  <si>
    <t>Center Right</t>
  </si>
  <si>
    <t>Bottom Left</t>
  </si>
  <si>
    <t>Bottom Center</t>
  </si>
  <si>
    <t>Bottom Right</t>
  </si>
  <si>
    <t>WordWrap</t>
  </si>
  <si>
    <t>ABCDEFGHIJKLMNOPQRSTUVWXYZ</t>
  </si>
  <si>
    <r>
      <t/>
    </r>
    <r>
      <rPr>
        <b val="true"/>
        <u val="none"/>
        <color rgb="FF333333"/>
        <sz val="12.0"/>
        <rFont val="Arial"/>
      </rPr>
      <t>TextRotate</t>
    </r>
  </si>
  <si>
    <t>I am Luckysheet text rotate style</t>
  </si>
  <si>
    <t>hidden1</t>
  </si>
  <si>
    <t>hidden2</t>
  </si>
  <si>
    <t>Basic Function</t>
  </si>
  <si>
    <t>Name</t>
  </si>
  <si>
    <t>Age</t>
  </si>
  <si>
    <t>Indirect Function</t>
  </si>
  <si>
    <t>J2</t>
  </si>
  <si>
    <t>Jack</t>
  </si>
  <si>
    <t>I</t>
  </si>
  <si>
    <t>Lily</t>
  </si>
  <si>
    <t>J</t>
  </si>
  <si>
    <t>Bob</t>
  </si>
  <si>
    <t>Mary</t>
  </si>
  <si>
    <t>=INDIRECT("I2")</t>
  </si>
  <si>
    <t>Average Age:</t>
  </si>
  <si>
    <t>=INDIRECT(I2)</t>
  </si>
  <si>
    <t>Max Age:</t>
  </si>
  <si>
    <t>=INDIRECT("I"&amp;(1+2))</t>
  </si>
  <si>
    <t>Min Age:</t>
  </si>
  <si>
    <t>=INDIRECT(I4&amp;J3)</t>
  </si>
  <si>
    <t>=INDIRECT("Formula!"&amp;I2)</t>
  </si>
  <si>
    <t>=INDIRECT("Formula!I2")</t>
  </si>
  <si>
    <t>Array Formula</t>
  </si>
  <si>
    <t>Calculation</t>
  </si>
  <si>
    <t>Match</t>
  </si>
  <si>
    <t>Physical</t>
  </si>
  <si>
    <t>Chemistry</t>
  </si>
  <si>
    <t>Alex</t>
  </si>
  <si>
    <t>Sum</t>
  </si>
  <si>
    <t>Alice</t>
  </si>
  <si>
    <t>John</t>
  </si>
  <si>
    <t>Search</t>
  </si>
  <si>
    <t>apple</t>
  </si>
  <si>
    <t>banana</t>
  </si>
  <si>
    <t>pear</t>
  </si>
  <si>
    <t>potato</t>
  </si>
  <si>
    <t>ArrayFormula Result:</t>
  </si>
  <si>
    <t>dumpling</t>
  </si>
  <si>
    <t>tomato</t>
  </si>
  <si>
    <t>NomalFormula Result:</t>
  </si>
  <si>
    <t>cake</t>
  </si>
  <si>
    <t>noodel</t>
  </si>
  <si>
    <t>Statistics</t>
  </si>
  <si>
    <t>Product</t>
  </si>
  <si>
    <t>Salesman</t>
  </si>
  <si>
    <t>Units Sold</t>
  </si>
  <si>
    <t>Summing Sales: Faxes Sold By Brown</t>
  </si>
  <si>
    <t>Fax</t>
  </si>
  <si>
    <t>Brown</t>
  </si>
  <si>
    <t>Phone</t>
  </si>
  <si>
    <t>Smith</t>
  </si>
  <si>
    <t>Logical AND (Faxes And Brown)</t>
  </si>
  <si>
    <t>Jones</t>
  </si>
  <si>
    <t>Logical OR (Faxes Or Jones)</t>
  </si>
  <si>
    <t>PC</t>
  </si>
  <si>
    <t>Logical XOR (Fax Or Jones but not both)</t>
  </si>
  <si>
    <t>Davis</t>
  </si>
  <si>
    <t>Logical NAND (All Sales Except Fax And Jones)</t>
  </si>
  <si>
    <t>Cell Value</t>
  </si>
  <si>
    <t>Specific Text</t>
  </si>
  <si>
    <t>Unique</t>
  </si>
  <si>
    <t>Duplicate</t>
  </si>
  <si>
    <t>Date Occurring</t>
  </si>
  <si>
    <t>test</t>
  </si>
  <si>
    <t>bad</t>
  </si>
  <si>
    <t>good</t>
  </si>
  <si>
    <t>testing</t>
  </si>
  <si>
    <t>tested</t>
  </si>
  <si>
    <t>general</t>
  </si>
  <si>
    <t>Top/Bottom</t>
  </si>
  <si>
    <t>Average</t>
  </si>
  <si>
    <t>2-Color Scale</t>
  </si>
  <si>
    <t>3-Color Scale</t>
  </si>
  <si>
    <t>Data Bar</t>
  </si>
  <si>
    <t>Icon Set</t>
  </si>
  <si>
    <t>Table Style - light3, Filter</t>
  </si>
  <si>
    <t>Table Style - light6</t>
  </si>
  <si>
    <t>Column1</t>
  </si>
  <si>
    <t>Column2</t>
  </si>
  <si>
    <t>Column3</t>
  </si>
  <si>
    <t>Column4</t>
  </si>
  <si>
    <t>Column5</t>
  </si>
  <si>
    <t>Table Style - medium3,Header</t>
  </si>
  <si>
    <t>Table Style - medium8,Footer</t>
  </si>
  <si>
    <t>Table Style - medium6,Header,Footer</t>
  </si>
  <si>
    <t>Table Style - medium10,Header,Footer</t>
  </si>
  <si>
    <t>Sex</t>
  </si>
  <si>
    <t>Address</t>
  </si>
  <si>
    <t>Score</t>
  </si>
  <si>
    <t>bob</t>
  </si>
  <si>
    <t>man</t>
  </si>
  <si>
    <t>Beijing</t>
  </si>
  <si>
    <t>Betty</t>
  </si>
  <si>
    <t>woman</t>
  </si>
  <si>
    <t>Xi'an</t>
  </si>
  <si>
    <t>Gary</t>
  </si>
  <si>
    <t>NewYork</t>
  </si>
  <si>
    <t>Hunk</t>
  </si>
  <si>
    <t>Cherry</t>
  </si>
  <si>
    <t>Shanghai</t>
  </si>
  <si>
    <t>The company revenue in 2014</t>
  </si>
  <si>
    <t>Mobile Phone Contrast</t>
  </si>
  <si>
    <t>Month</t>
  </si>
  <si>
    <t>Revenue</t>
  </si>
  <si>
    <t>Diagram 1</t>
  </si>
  <si>
    <t>Diagram 2</t>
  </si>
  <si>
    <t>Phone I</t>
  </si>
  <si>
    <t>Phone II</t>
  </si>
  <si>
    <t>Diagram</t>
  </si>
  <si>
    <t>Size(inch)</t>
  </si>
  <si>
    <t>RAM(G)</t>
  </si>
  <si>
    <t>Weight(g)</t>
  </si>
  <si>
    <t>My Assets</t>
  </si>
  <si>
    <t>Checkbook Register</t>
  </si>
  <si>
    <t>Asset Type</t>
  </si>
  <si>
    <t>Amount</t>
  </si>
  <si>
    <t>Note</t>
  </si>
  <si>
    <t>InitialValue</t>
  </si>
  <si>
    <t>Σ</t>
  </si>
  <si>
    <t>Savings</t>
  </si>
  <si>
    <t>12/11/2012</t>
  </si>
  <si>
    <t>CVS</t>
  </si>
  <si>
    <t>401k</t>
  </si>
  <si>
    <t>12/12/2012</t>
  </si>
  <si>
    <t>Bank</t>
  </si>
  <si>
    <t>Stocks</t>
  </si>
  <si>
    <t>12/13/2012</t>
  </si>
  <si>
    <t>Starbucks</t>
  </si>
  <si>
    <t>Sales by State</t>
  </si>
  <si>
    <t>State</t>
  </si>
  <si>
    <t>Sales</t>
  </si>
  <si>
    <t>Student Grade Statistics</t>
  </si>
  <si>
    <t>Idaho</t>
  </si>
  <si>
    <t>Chinese</t>
  </si>
  <si>
    <t>Math</t>
  </si>
  <si>
    <t>English</t>
  </si>
  <si>
    <t>Total</t>
  </si>
  <si>
    <t>Montana</t>
  </si>
  <si>
    <t>Oregon</t>
  </si>
  <si>
    <t>Washington</t>
  </si>
  <si>
    <t>Student 1</t>
  </si>
  <si>
    <t>Student 2</t>
  </si>
  <si>
    <t>Student 3</t>
  </si>
  <si>
    <t>Employee KPI</t>
  </si>
  <si>
    <t>Student 4</t>
  </si>
  <si>
    <t>Forecast</t>
  </si>
  <si>
    <t>Actuality</t>
  </si>
  <si>
    <t>Student 5</t>
  </si>
  <si>
    <t>Employee 1</t>
  </si>
  <si>
    <t>Employee 2</t>
  </si>
  <si>
    <t>Employee 3</t>
  </si>
  <si>
    <t>HoverShown</t>
  </si>
  <si>
    <t>Size</t>
  </si>
  <si>
    <t>Mock test</t>
  </si>
  <si>
    <t>student</t>
  </si>
  <si>
    <t>class</t>
  </si>
  <si>
    <t>subject</t>
  </si>
  <si>
    <t>score</t>
  </si>
  <si>
    <t>first round</t>
  </si>
  <si>
    <t>Joy</t>
  </si>
  <si>
    <t>Class one</t>
  </si>
  <si>
    <t>mathematics</t>
  </si>
  <si>
    <t>foreign language</t>
  </si>
  <si>
    <t>science</t>
  </si>
  <si>
    <t>Tim</t>
  </si>
  <si>
    <t>count:score</t>
  </si>
  <si>
    <t>total</t>
  </si>
  <si>
    <t>Mon</t>
  </si>
  <si>
    <t>Tues</t>
  </si>
  <si>
    <t>Wed</t>
  </si>
  <si>
    <t>Thur</t>
  </si>
  <si>
    <t>Fri</t>
  </si>
  <si>
    <t>Sat</t>
  </si>
  <si>
    <t>Sun</t>
  </si>
  <si>
    <t>BUS</t>
  </si>
  <si>
    <t>UBER</t>
  </si>
  <si>
    <t>TAXI</t>
  </si>
  <si>
    <t>SUBWAY</t>
  </si>
  <si>
    <t>country</t>
  </si>
  <si>
    <t>Population</t>
  </si>
  <si>
    <t>India</t>
  </si>
  <si>
    <t>Pakistan</t>
  </si>
  <si>
    <t>China</t>
  </si>
  <si>
    <t>Japan</t>
  </si>
  <si>
    <t>South-Eastern</t>
  </si>
  <si>
    <t>Western</t>
  </si>
  <si>
    <t>Eastern</t>
  </si>
  <si>
    <t>Northern</t>
  </si>
  <si>
    <t>Others</t>
  </si>
  <si>
    <t>Europe</t>
  </si>
  <si>
    <t>Fixed Position</t>
  </si>
  <si>
    <t>Move and resize cells</t>
  </si>
  <si>
    <t>Move and don't resize the cell</t>
  </si>
  <si>
    <t/>
  </si>
  <si>
    <t>Drop Down List</t>
  </si>
  <si>
    <t>Checkbox</t>
  </si>
  <si>
    <t>Number between 1-10</t>
  </si>
  <si>
    <t>Text content include Luckysheet</t>
  </si>
  <si>
    <t>Text length between 1-5</t>
  </si>
  <si>
    <t>Date</t>
  </si>
  <si>
    <t>Identification Number</t>
  </si>
  <si>
    <t>Phone Number</t>
  </si>
  <si>
    <t>Fix</t>
  </si>
  <si>
    <t>Fail</t>
  </si>
  <si>
    <t>Luckysheet is good</t>
  </si>
  <si>
    <t>Welcome</t>
  </si>
  <si>
    <t>311414199009138910</t>
  </si>
  <si>
    <t>Done</t>
  </si>
  <si>
    <t>Pass</t>
  </si>
  <si>
    <t>I am Luckysheet</t>
  </si>
  <si>
    <t>Good</t>
  </si>
  <si>
    <t>Time</t>
  </si>
  <si>
    <t>31141419900913891</t>
  </si>
  <si>
    <t>Develop</t>
  </si>
  <si>
    <t>I am luckyDemo</t>
  </si>
  <si>
    <t>Nice</t>
  </si>
  <si>
    <t>3114141990091389102</t>
  </si>
  <si>
    <t>Doing</t>
  </si>
  <si>
    <t>Luckysheet Documentation</t>
  </si>
  <si>
    <t>Morning</t>
  </si>
  <si>
    <t>31141419900913891X</t>
  </si>
  <si>
    <t>Luckyexcel</t>
  </si>
  <si>
    <t>Tomorrow</t>
  </si>
  <si>
    <t>Number</t>
  </si>
  <si>
    <t>Luckysheet Online</t>
  </si>
  <si>
    <t>Three</t>
  </si>
  <si>
    <t>311414199301118910</t>
  </si>
</sst>
</file>

<file path=xl/styles.xml><?xml version="1.0" encoding="utf-8"?>
<styleSheet xmlns="http://schemas.openxmlformats.org/spreadsheetml/2006/main">
  <numFmts count="11">
    <numFmt numFmtId="164" formatCode="##0.00"/>
    <numFmt numFmtId="165" formatCode="$#,##0.00_);($#,##0.00)"/>
    <numFmt numFmtId="166" formatCode="&quot;$&quot; 0.00"/>
    <numFmt numFmtId="167" formatCode="AM/PM h:mm:ss"/>
    <numFmt numFmtId="168" formatCode="yyyy/MM/dd"/>
    <numFmt numFmtId="169" formatCode="yyyy&quot;年&quot;M&quot;月&quot;d&quot;日&quot;"/>
    <numFmt numFmtId="170" formatCode="yyyy-MM-dd hh:mm"/>
    <numFmt numFmtId="171" formatCode="yyyy-MM-dd"/>
    <numFmt numFmtId="172" formatCode="0.0"/>
    <numFmt numFmtId="173" formatCode="&quot;$&quot; #"/>
    <numFmt numFmtId="174" formatCode="##0"/>
  </numFmts>
  <fonts count="1759">
    <font>
      <sz val="11.0"/>
      <color indexed="8"/>
      <name val="Calibri"/>
      <family val="2"/>
      <scheme val="minor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b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b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Arial"/>
      <sz val="12.0"/>
      <u val="none"/>
      <color rgb="FFFF0000"/>
    </font>
    <font>
      <name val="Arial"/>
      <sz val="12.0"/>
      <u val="none"/>
      <color rgb="FF000000"/>
    </font>
    <font>
      <name val="Arial"/>
      <sz val="16.0"/>
      <i val="true"/>
      <u val="none"/>
      <strike val="true"/>
      <color rgb="FF000000"/>
    </font>
    <font>
      <name val="Arial"/>
      <sz val="12.0"/>
      <u val="none"/>
      <color rgb="FF000000"/>
    </font>
    <font>
      <name val="Arial"/>
      <sz val="12.0"/>
      <b val="true"/>
      <u val="none"/>
      <color rgb="FF00000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b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b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3.0"/>
      <color rgb="FF333333"/>
    </font>
    <font>
      <name val="新宋体"/>
      <sz val="11.0"/>
      <color rgb="FF333333"/>
    </font>
    <font>
      <name val="Times New Roman"/>
      <sz val="13.0"/>
      <color rgb="FF333333"/>
    </font>
    <font>
      <name val="Times New Roman"/>
      <sz val="11.0"/>
      <color rgb="FF333333"/>
    </font>
    <font>
      <name val="Times New Roman"/>
      <sz val="11.0"/>
      <color rgb="FF436EEE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FFD700"/>
    </font>
    <font>
      <name val="Times New Roman"/>
      <sz val="10.0"/>
      <b val="true"/>
      <color rgb="FF333333"/>
    </font>
    <font>
      <name val="Times New Roman"/>
      <sz val="11.0"/>
      <i val="true"/>
      <color rgb="FF333333"/>
    </font>
    <font>
      <name val="Times New Roman"/>
      <sz val="11.0"/>
      <strike val="true"/>
      <color rgb="FF333333"/>
    </font>
    <font>
      <name val="Times New Roman"/>
      <sz val="11.0"/>
      <strike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b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b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b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Arial"/>
      <sz val="12.0"/>
      <b val="true"/>
      <u val="none"/>
      <color rgb="FF333333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1.0"/>
    </font>
    <font>
      <name val="Calibri"/>
      <sz val="11.0"/>
    </font>
    <font>
      <name val="Times New Roman"/>
      <sz val="11.0"/>
      <b val="true"/>
      <color rgb="FF333333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b val="true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b val="true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b val="true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Calibri"/>
      <sz val="11.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新宋体"/>
      <sz val="10.0"/>
      <color rgb="FF00000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0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0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0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0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Times New Roman"/>
      <sz val="10.0"/>
      <b val="true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b val="true"/>
      <color rgb="FF333333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Times New Roman"/>
      <sz val="10.0"/>
      <color rgb="FF333333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新宋体"/>
      <sz val="16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rgb="FFFFFFFF"/>
    </font>
    <font>
      <name val="Calibri"/>
      <sz val="11.0"/>
      <color rgb="FFFFFFFF"/>
    </font>
    <font>
      <name val="Calibri"/>
      <sz val="11.0"/>
      <color rgb="FFFFFFFF"/>
    </font>
    <font>
      <name val="Calibri"/>
      <sz val="11.0"/>
      <color rgb="FFFFFFFF"/>
    </font>
    <font>
      <name val="Calibri"/>
      <sz val="11.0"/>
      <color rgb="FFFFFFFF"/>
    </font>
    <font>
      <name val="Calibri"/>
      <sz val="11.0"/>
      <color rgb="FFFFFFFF"/>
    </font>
    <font>
      <name val="Times New Roman"/>
      <sz val="11.0"/>
      <color rgb="FFFFFFFF"/>
    </font>
    <font>
      <name val="Times New Roman"/>
      <sz val="11.0"/>
      <color rgb="FFFFFFFF"/>
    </font>
    <font>
      <name val="Times New Roman"/>
      <sz val="11.0"/>
      <color rgb="FFFFFFFF"/>
    </font>
    <font>
      <name val="Times New Roman"/>
      <sz val="11.0"/>
      <color rgb="FF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新宋体"/>
      <sz val="14.0"/>
      <color rgb="FF333333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新宋体"/>
      <sz val="16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0.0"/>
      <color rgb="FFFFFFFF"/>
    </font>
    <font>
      <name val="Times New Roman"/>
      <sz val="10.0"/>
      <color rgb="FFFFFFFF"/>
    </font>
    <font>
      <name val="Times New Roman"/>
      <sz val="10.0"/>
      <color rgb="FFFFFFFF"/>
    </font>
    <font>
      <name val="Calibri"/>
      <sz val="10.0"/>
    </font>
    <font>
      <name val="Times New Roman"/>
      <sz val="10.0"/>
      <color rgb="FFFFFFFF"/>
    </font>
    <font>
      <name val="Times New Roman"/>
      <sz val="11.0"/>
      <color rgb="FF333333"/>
    </font>
    <font>
      <name val="Calibri"/>
      <sz val="11.0"/>
    </font>
    <font>
      <name val="Times New Roman"/>
      <sz val="11.0"/>
      <b val="true"/>
      <color rgb="FF333333"/>
    </font>
    <font>
      <name val="Times New Roman"/>
      <sz val="11.0"/>
      <b val="true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新宋体"/>
      <sz val="14.0"/>
      <color rgb="FF333333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Times New Roman"/>
      <sz val="11.0"/>
      <color rgb="FFFFFFFF"/>
    </font>
    <font>
      <name val="Times New Roman"/>
      <sz val="11.0"/>
      <color rgb="FFFFFFFF"/>
    </font>
    <font>
      <name val="Times New Roman"/>
      <sz val="11.0"/>
      <color rgb="FFFFFFFF"/>
    </font>
    <font>
      <name val="Calibri"/>
      <sz val="11.0"/>
    </font>
    <font>
      <name val="Calibri"/>
      <sz val="11.0"/>
    </font>
    <font>
      <name val="新宋体"/>
      <sz val="16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FFFFFF"/>
    </font>
    <font>
      <name val="Times New Roman"/>
      <sz val="11.0"/>
      <color rgb="FFFFFFFF"/>
    </font>
    <font>
      <name val="Calibri"/>
      <sz val="11.0"/>
    </font>
    <font>
      <name val="Times New Roman"/>
      <sz val="11.0"/>
      <color rgb="FFFFFFFF"/>
    </font>
    <font>
      <name val="Calibri"/>
      <sz val="11.0"/>
    </font>
    <font>
      <name val="Times New Roman"/>
      <sz val="11.0"/>
      <color rgb="FFFFFFFF"/>
    </font>
    <font>
      <name val="Calibri"/>
      <sz val="11.0"/>
    </font>
    <font>
      <name val="Times New Roman"/>
      <sz val="11.0"/>
      <color rgb="FFFFFFFF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新宋体"/>
      <sz val="14.0"/>
      <color rgb="FF333333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新宋体"/>
      <sz val="16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FFFFFF"/>
    </font>
    <font>
      <name val="Times New Roman"/>
      <sz val="11.0"/>
      <color rgb="FFFFFFFF"/>
    </font>
    <font>
      <name val="Times New Roman"/>
      <sz val="11.0"/>
      <color rgb="FFFFFFFF"/>
    </font>
    <font>
      <name val="Times New Roman"/>
      <sz val="11.0"/>
      <color rgb="FFFFFFFF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Times New Roman"/>
      <sz val="11.0"/>
      <color rgb="FF333333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0">
    <fill>
      <patternFill patternType="none"/>
    </fill>
    <fill>
      <patternFill patternType="darkGray"/>
    </fill>
    <fill>
      <patternFill patternType="none">
        <fgColor rgb="1E90FF"/>
      </patternFill>
    </fill>
    <fill>
      <patternFill patternType="solid">
        <fgColor rgb="1E90FF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D700"/>
      </patternFill>
    </fill>
    <fill>
      <patternFill patternType="solid">
        <fgColor rgb="FFD700"/>
      </patternFill>
    </fill>
    <fill>
      <patternFill patternType="none">
        <fgColor rgb="436EEE"/>
      </patternFill>
    </fill>
    <fill>
      <patternFill patternType="solid">
        <fgColor rgb="436EEE"/>
      </patternFill>
    </fill>
    <fill>
      <patternFill patternType="none">
        <fgColor rgb="F1C232"/>
      </patternFill>
    </fill>
    <fill>
      <patternFill patternType="solid">
        <fgColor rgb="F1C232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919F81"/>
      </patternFill>
    </fill>
    <fill>
      <patternFill patternType="solid">
        <fgColor rgb="919F81"/>
      </patternFill>
    </fill>
    <fill>
      <patternFill patternType="none">
        <fgColor rgb="D7913E"/>
      </patternFill>
    </fill>
    <fill>
      <patternFill patternType="solid">
        <fgColor rgb="D7913E"/>
      </patternFill>
    </fill>
    <fill>
      <patternFill patternType="none">
        <fgColor rgb="CEA722"/>
      </patternFill>
    </fill>
    <fill>
      <patternFill patternType="solid">
        <fgColor rgb="CEA722"/>
      </patternFill>
    </fill>
  </fills>
  <borders count="277">
    <border>
      <left/>
      <right/>
      <top/>
      <bottom/>
      <diagonal/>
    </border>
    <border>
      <top style="mediumDashDot"/>
    </border>
    <border>
      <top style="mediumDashDot">
        <color rgb="FF0000"/>
      </top>
    </border>
    <border>
      <right style="mediumDashDot"/>
      <top style="mediumDashDot">
        <color rgb="FF0000"/>
      </top>
    </border>
    <border>
      <right style="mediumDashDot">
        <color rgb="FF0000"/>
      </right>
      <top style="mediumDashDot">
        <color rgb="FF0000"/>
      </top>
    </border>
    <border>
      <right style="mediumDashDot">
        <color rgb="FF0000"/>
      </right>
      <top style="mediumDashDot">
        <color rgb="FF0000"/>
      </top>
      <bottom style="mediumDashDot"/>
    </border>
    <border>
      <right style="mediumDashDot">
        <color rgb="FF0000"/>
      </right>
      <top style="mediumDashDot">
        <color rgb="FF0000"/>
      </top>
      <bottom style="mediumDashDot">
        <color rgb="FF0000"/>
      </bottom>
    </border>
    <border>
      <left style="mediumDashDot"/>
      <right style="mediumDashDot">
        <color rgb="FF0000"/>
      </right>
      <top style="mediumDashDot">
        <color rgb="FF0000"/>
      </top>
      <bottom style="mediumDashDot">
        <color rgb="FF0000"/>
      </bottom>
    </border>
    <border>
      <left style="mediumDashDot">
        <color rgb="FF0000"/>
      </left>
      <right style="mediumDashDot">
        <color rgb="FF0000"/>
      </right>
      <top style="mediumDashDot">
        <color rgb="FF0000"/>
      </top>
      <bottom style="mediumDashDot">
        <color rgb="FF0000"/>
      </bottom>
    </border>
    <border>
      <top style="mediumDashed"/>
    </border>
    <border>
      <top style="mediumDashed">
        <color rgb="FF0000"/>
      </top>
    </border>
    <border>
      <right style="mediumDashed"/>
      <top style="mediumDashed">
        <color rgb="FF0000"/>
      </top>
    </border>
    <border>
      <right style="mediumDashed">
        <color rgb="FF0000"/>
      </right>
      <top style="mediumDashed">
        <color rgb="FF0000"/>
      </top>
    </border>
    <border>
      <right style="mediumDashed">
        <color rgb="FF0000"/>
      </right>
      <top style="mediumDashed">
        <color rgb="FF0000"/>
      </top>
      <bottom style="mediumDashed"/>
    </border>
    <border>
      <right style="mediumDashed">
        <color rgb="FF0000"/>
      </right>
      <top style="mediumDashed">
        <color rgb="FF0000"/>
      </top>
      <bottom style="mediumDashed">
        <color rgb="FF0000"/>
      </bottom>
    </border>
    <border>
      <left style="mediumDashed"/>
      <right style="mediumDashed">
        <color rgb="FF0000"/>
      </right>
      <top style="mediumDashed">
        <color rgb="FF0000"/>
      </top>
      <bottom style="mediumDashed">
        <color rgb="FF0000"/>
      </bottom>
    </border>
    <border>
      <left style="mediumDashed">
        <color rgb="FF0000"/>
      </left>
      <right style="mediumDashed">
        <color rgb="FF0000"/>
      </right>
      <top style="mediumDashed">
        <color rgb="FF0000"/>
      </top>
      <bottom style="mediumDashed">
        <color rgb="FF0000"/>
      </bottom>
    </border>
    <border>
      <top style="thin"/>
    </border>
    <border>
      <top style="thin">
        <color rgb="FF0000"/>
      </top>
    </border>
    <border>
      <right style="thin"/>
      <top style="thin">
        <color rgb="FF0000"/>
      </top>
    </border>
    <border>
      <right style="thin">
        <color rgb="FF0000"/>
      </right>
      <top style="thin">
        <color rgb="FF0000"/>
      </top>
    </border>
    <border>
      <right style="thin">
        <color rgb="FF0000"/>
      </right>
      <top style="thin">
        <color rgb="FF0000"/>
      </top>
      <bottom style="thin"/>
    </border>
    <border>
      <right style="thin">
        <color rgb="FF0000"/>
      </right>
      <top style="thin">
        <color rgb="FF0000"/>
      </top>
      <bottom style="thin">
        <color rgb="FF0000"/>
      </bottom>
    </border>
    <border>
      <left style="thin"/>
      <right style="thin">
        <color rgb="FF0000"/>
      </right>
      <top style="thin">
        <color rgb="FF0000"/>
      </top>
      <bottom style="thin">
        <color rgb="FF0000"/>
      </bottom>
    </border>
    <border>
      <left style="thin">
        <color rgb="FF0000"/>
      </left>
      <right style="thin">
        <color rgb="FF0000"/>
      </right>
      <top style="thin">
        <color rgb="FF0000"/>
      </top>
      <bottom style="thin">
        <color rgb="FF0000"/>
      </bottom>
    </border>
    <border>
      <top style="hair"/>
    </border>
    <border>
      <top style="hair">
        <color rgb="FF0000"/>
      </top>
    </border>
    <border>
      <right style="hair"/>
      <top style="hair">
        <color rgb="FF0000"/>
      </top>
    </border>
    <border>
      <right style="hair">
        <color rgb="FF0000"/>
      </right>
      <top style="hair">
        <color rgb="FF0000"/>
      </top>
    </border>
    <border>
      <right style="hair">
        <color rgb="FF0000"/>
      </right>
      <top style="hair">
        <color rgb="FF0000"/>
      </top>
      <bottom style="hair"/>
    </border>
    <border>
      <right style="hair">
        <color rgb="FF0000"/>
      </right>
      <top style="hair">
        <color rgb="FF0000"/>
      </top>
      <bottom style="hair">
        <color rgb="FF0000"/>
      </bottom>
    </border>
    <border>
      <left style="hair"/>
      <right style="hair">
        <color rgb="FF0000"/>
      </right>
      <top style="hair">
        <color rgb="FF0000"/>
      </top>
      <bottom style="hair">
        <color rgb="FF0000"/>
      </bottom>
    </border>
    <border>
      <left style="hair">
        <color rgb="FF0000"/>
      </left>
      <right style="hair">
        <color rgb="FF0000"/>
      </right>
      <top style="hair">
        <color rgb="FF0000"/>
      </top>
      <bottom style="hair">
        <color rgb="FF0000"/>
      </bottom>
    </border>
    <border>
      <top style="mediumDashed">
        <color rgb="0000FF"/>
      </top>
    </border>
    <border>
      <right style="mediumDashed"/>
      <top style="mediumDashed">
        <color rgb="0000FF"/>
      </top>
    </border>
    <border>
      <right style="mediumDashed">
        <color rgb="0000FF"/>
      </right>
      <top style="mediumDashed">
        <color rgb="0000FF"/>
      </top>
    </border>
    <border>
      <right style="mediumDashed">
        <color rgb="0000FF"/>
      </right>
      <top style="mediumDashed">
        <color rgb="0000FF"/>
      </top>
      <bottom style="mediumDashed"/>
    </border>
    <border>
      <right style="mediumDashed">
        <color rgb="0000FF"/>
      </right>
      <top style="mediumDashed">
        <color rgb="0000FF"/>
      </top>
      <bottom style="mediumDashed">
        <color rgb="0000FF"/>
      </bottom>
    </border>
    <border>
      <left style="mediumDashed"/>
      <right style="mediumDashed">
        <color rgb="0000FF"/>
      </right>
      <top style="mediumDashed">
        <color rgb="0000FF"/>
      </top>
      <bottom style="mediumDashed">
        <color rgb="0000FF"/>
      </bottom>
    </border>
    <border>
      <left style="mediumDashed">
        <color rgb="0000FF"/>
      </left>
      <right style="mediumDashed">
        <color rgb="0000FF"/>
      </right>
      <top style="mediumDashed">
        <color rgb="0000FF"/>
      </top>
      <bottom style="mediumDashed">
        <color rgb="0000FF"/>
      </bottom>
    </border>
    <border>
      <top style="hair">
        <color rgb="9ACD32"/>
      </top>
    </border>
    <border>
      <left style="hair"/>
      <top style="hair">
        <color rgb="9ACD32"/>
      </top>
    </border>
    <border>
      <left style="hair">
        <color rgb="9ACD32"/>
      </left>
      <top style="hair">
        <color rgb="9ACD32"/>
      </top>
    </border>
    <border>
      <right style="hair"/>
      <top style="hair">
        <color rgb="9ACD32"/>
      </top>
    </border>
    <border>
      <right style="hair">
        <color rgb="9ACD32"/>
      </right>
      <top style="hair">
        <color rgb="9ACD32"/>
      </top>
    </border>
    <border>
      <right style="mediumDashed"/>
    </border>
    <border>
      <right style="mediumDashed">
        <color rgb="000000"/>
      </right>
    </border>
    <border>
      <right style="mediumDashed">
        <color rgb="000000"/>
      </right>
      <bottom style="mediumDashed"/>
    </border>
    <border>
      <right style="mediumDashed">
        <color rgb="000000"/>
      </right>
      <bottom style="mediumDashed">
        <color rgb="000000"/>
      </bottom>
    </border>
    <border>
      <bottom style="mediumDashed"/>
    </border>
    <border>
      <bottom style="mediumDashed">
        <color rgb="000000"/>
      </bottom>
    </border>
    <border>
      <left style="mediumDashed"/>
      <bottom style="mediumDashed">
        <color rgb="000000"/>
      </bottom>
    </border>
    <border>
      <left style="mediumDashed">
        <color rgb="000000"/>
      </left>
      <bottom style="mediumDashed">
        <color rgb="000000"/>
      </bottom>
    </border>
    <border>
      <bottom style="hair"/>
    </border>
    <border>
      <bottom style="hair">
        <color rgb="9ACD32"/>
      </bottom>
    </border>
    <border>
      <left style="hair"/>
      <bottom style="hair">
        <color rgb="9ACD32"/>
      </bottom>
    </border>
    <border>
      <left style="hair">
        <color rgb="9ACD32"/>
      </left>
      <bottom style="hair">
        <color rgb="9ACD32"/>
      </bottom>
    </border>
    <border>
      <right style="hair"/>
    </border>
    <border>
      <right style="hair">
        <color rgb="9ACD32"/>
      </right>
    </border>
    <border>
      <right style="hair">
        <color rgb="9ACD32"/>
      </right>
      <bottom style="hair"/>
    </border>
    <border>
      <right style="hair">
        <color rgb="9ACD32"/>
      </right>
      <bottom style="hair">
        <color rgb="9ACD32"/>
      </bottom>
    </border>
    <border>
      <top style="mediumDashed">
        <color rgb="000000"/>
      </top>
    </border>
    <border>
      <right style="mediumDashed"/>
      <top style="mediumDashed">
        <color rgb="000000"/>
      </top>
    </border>
    <border>
      <right style="mediumDashed">
        <color rgb="000000"/>
      </right>
      <top style="mediumDashed">
        <color rgb="000000"/>
      </top>
    </border>
    <border>
      <left style="mediumDashed"/>
      <top style="mediumDashed">
        <color rgb="000000"/>
      </top>
    </border>
    <border>
      <left style="mediumDashed">
        <color rgb="000000"/>
      </left>
      <top style="mediumDashed">
        <color rgb="000000"/>
      </top>
    </border>
    <border>
      <top style="thin">
        <color rgb="90EE90"/>
      </top>
    </border>
    <border>
      <top style="thin">
        <color rgb="90EE90"/>
      </top>
      <bottom style="thin"/>
    </border>
    <border>
      <top style="thin">
        <color rgb="90EE90"/>
      </top>
      <bottom style="thin">
        <color rgb="90EE90"/>
      </bottom>
    </border>
    <border>
      <left style="thin"/>
      <top style="thin">
        <color rgb="90EE90"/>
      </top>
      <bottom style="thin">
        <color rgb="90EE90"/>
      </bottom>
    </border>
    <border>
      <left style="thin">
        <color rgb="90EE90"/>
      </left>
      <top style="thin">
        <color rgb="90EE90"/>
      </top>
      <bottom style="thin">
        <color rgb="90EE90"/>
      </bottom>
    </border>
    <border>
      <right style="thin"/>
      <top style="thin">
        <color rgb="90EE90"/>
      </top>
    </border>
    <border>
      <right style="thin">
        <color rgb="90EE90"/>
      </right>
      <top style="thin">
        <color rgb="90EE90"/>
      </top>
    </border>
    <border>
      <right style="thin">
        <color rgb="90EE90"/>
      </right>
      <top style="thin">
        <color rgb="90EE90"/>
      </top>
      <bottom style="thin"/>
    </border>
    <border>
      <right style="thin">
        <color rgb="90EE90"/>
      </right>
      <top style="thin">
        <color rgb="90EE90"/>
      </top>
      <bottom style="thin">
        <color rgb="90EE90"/>
      </bottom>
    </border>
    <border>
      <top style="thin">
        <color rgb="CDCD00"/>
      </top>
    </border>
    <border>
      <right style="thin"/>
      <top style="thin">
        <color rgb="CDCD00"/>
      </top>
    </border>
    <border>
      <right style="thin">
        <color rgb="CDCD00"/>
      </right>
      <top style="thin">
        <color rgb="CDCD00"/>
      </top>
    </border>
    <border>
      <left style="thin"/>
      <right style="thin">
        <color rgb="CDCD00"/>
      </right>
      <top style="thin">
        <color rgb="CDCD00"/>
      </top>
    </border>
    <border>
      <left style="thin">
        <color rgb="CDCD00"/>
      </left>
      <right style="thin">
        <color rgb="CDCD00"/>
      </right>
      <top style="thin">
        <color rgb="CDCD00"/>
      </top>
    </border>
    <border>
      <right style="thin"/>
    </border>
    <border>
      <right style="thin">
        <color rgb="CDCD00"/>
      </right>
    </border>
    <border>
      <left style="thin"/>
      <right style="thin">
        <color rgb="CDCD00"/>
      </right>
    </border>
    <border>
      <left style="thin">
        <color rgb="CDCD00"/>
      </left>
      <right style="thin">
        <color rgb="CDCD00"/>
      </right>
    </border>
    <border>
      <right style="thin">
        <color rgb="CDCD00"/>
      </right>
      <bottom style="thin"/>
    </border>
    <border>
      <right style="thin">
        <color rgb="CDCD00"/>
      </right>
      <bottom style="thin">
        <color rgb="CDCD00"/>
      </bottom>
    </border>
    <border>
      <left style="thin"/>
      <right style="thin">
        <color rgb="CDCD00"/>
      </right>
      <bottom style="thin">
        <color rgb="CDCD00"/>
      </bottom>
    </border>
    <border>
      <left style="thin">
        <color rgb="CDCD00"/>
      </left>
      <right style="thin">
        <color rgb="CDCD00"/>
      </right>
      <bottom style="thin">
        <color rgb="CDCD00"/>
      </bottom>
    </border>
    <border>
      <top style="thick"/>
    </border>
    <border>
      <top style="thick">
        <color rgb="FF0000"/>
      </top>
    </border>
    <border>
      <right style="thick"/>
      <top style="thick">
        <color rgb="FF0000"/>
      </top>
    </border>
    <border>
      <right style="thick">
        <color rgb="FF0000"/>
      </right>
      <top style="thick">
        <color rgb="FF0000"/>
      </top>
    </border>
    <border>
      <right style="thick">
        <color rgb="FF0000"/>
      </right>
      <top style="thick">
        <color rgb="FF0000"/>
      </top>
      <bottom style="thick"/>
    </border>
    <border>
      <right style="thick">
        <color rgb="FF0000"/>
      </right>
      <top style="thick">
        <color rgb="FF0000"/>
      </top>
      <bottom style="thick">
        <color rgb="FF0000"/>
      </bottom>
    </border>
    <border>
      <left style="thick"/>
      <right style="thick">
        <color rgb="FF0000"/>
      </right>
      <top style="thick">
        <color rgb="FF0000"/>
      </top>
      <bottom style="thick">
        <color rgb="FF0000"/>
      </bottom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left style="mediumDashDot">
        <color rgb="FF0000"/>
      </left>
      <right style="mediumDashDot">
        <color rgb="FF0000"/>
      </right>
      <bottom style="mediumDashDot">
        <color rgb="FF0000"/>
      </bottom>
    </border>
    <border>
      <left style="mediumDashDot">
        <color rgb="FF0000"/>
      </left>
      <right style="mediumDashDot">
        <color rgb="FF0000"/>
      </right>
      <top>
        <color rgb="000000"/>
      </top>
      <bottom style="mediumDashDot">
        <color rgb="FF0000"/>
      </bottom>
    </border>
    <border>
      <left style="mediumDashDot">
        <color rgb="FF0000"/>
      </left>
      <top>
        <color rgb="000000"/>
      </top>
      <bottom style="mediumDashDot">
        <color rgb="FF0000"/>
      </bottom>
    </border>
    <border>
      <left style="mediumDashDot">
        <color rgb="FF0000"/>
      </left>
      <right>
        <color rgb="000000"/>
      </right>
      <top>
        <color rgb="000000"/>
      </top>
      <bottom style="mediumDashDot">
        <color rgb="FF0000"/>
      </bottom>
    </border>
    <border>
      <left style="mediumDashDot">
        <color rgb="FF0000"/>
      </left>
      <right>
        <color rgb="000000"/>
      </right>
      <top>
        <color rgb="000000"/>
      </top>
    </border>
    <border>
      <left style="mediumDashDot">
        <color rgb="FF0000"/>
      </left>
      <right>
        <color rgb="000000"/>
      </right>
      <top>
        <color rgb="000000"/>
      </top>
      <bottom>
        <color rgb="000000"/>
      </bottom>
    </border>
    <border>
      <right>
        <color rgb="000000"/>
      </righ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left>
        <color rgb="000000"/>
      </left>
      <right>
        <color rgb="000000"/>
      </right>
      <top style="hair">
        <color rgb="000000"/>
      </top>
      <bottom>
        <color rgb="000000"/>
      </bottom>
    </border>
    <border>
      <left>
        <color rgb="000000"/>
      </left>
      <right>
        <color rgb="000000"/>
      </right>
      <top style="hair">
        <color rgb="FF0000"/>
      </top>
      <bottom>
        <color rgb="000000"/>
      </bottom>
    </border>
    <border>
      <left>
        <color rgb="000000"/>
      </left>
      <right style="hair">
        <color rgb="000000"/>
      </right>
      <top style="hair">
        <color rgb="FF0000"/>
      </top>
      <bottom>
        <color rgb="000000"/>
      </bottom>
    </border>
    <border>
      <left>
        <color rgb="000000"/>
      </left>
      <right style="hair">
        <color rgb="FF0000"/>
      </right>
      <top style="hair">
        <color rgb="FF0000"/>
      </top>
      <bottom>
        <color rgb="000000"/>
      </bottom>
    </border>
    <border>
      <left>
        <color rgb="000000"/>
      </left>
      <right style="hair">
        <color rgb="FF0000"/>
      </right>
      <top style="hair">
        <color rgb="FF0000"/>
      </top>
      <bottom style="hair">
        <color rgb="000000"/>
      </bottom>
    </border>
    <border>
      <left>
        <color rgb="000000"/>
      </left>
      <right style="hair">
        <color rgb="FF0000"/>
      </right>
      <top style="hair">
        <color rgb="FF0000"/>
      </top>
      <bottom style="hair">
        <color rgb="FF0000"/>
      </bottom>
    </border>
    <border>
      <left style="hair">
        <color rgb="000000"/>
      </left>
      <right style="hair">
        <color rgb="FF0000"/>
      </right>
      <top style="hair">
        <color rgb="FF0000"/>
      </top>
      <bottom style="hair">
        <color rgb="FF0000"/>
      </bottom>
    </border>
    <border>
      <left style="hair">
        <color rgb="FF0000"/>
      </left>
      <right style="hair">
        <color rgb="FF0000"/>
      </right>
      <bottom style="hair">
        <color rgb="FF0000"/>
      </bottom>
    </border>
    <border>
      <left style="hair">
        <color rgb="FF0000"/>
      </left>
      <right style="hair">
        <color rgb="FF0000"/>
      </right>
      <top>
        <color rgb="FF0000"/>
      </top>
      <bottom style="hair">
        <color rgb="FF0000"/>
      </bottom>
    </border>
    <border>
      <left style="hair">
        <color rgb="FF0000"/>
      </left>
      <top>
        <color rgb="FF0000"/>
      </top>
      <bottom style="hair">
        <color rgb="FF0000"/>
      </bottom>
    </border>
    <border>
      <left style="hair">
        <color rgb="FF0000"/>
      </left>
      <right>
        <color rgb="FF0000"/>
      </right>
      <top>
        <color rgb="FF0000"/>
      </top>
      <bottom style="hair">
        <color rgb="FF0000"/>
      </bottom>
    </border>
    <border>
      <left style="hair">
        <color rgb="FF0000"/>
      </left>
      <right>
        <color rgb="FF0000"/>
      </right>
      <top>
        <color rgb="FF0000"/>
      </top>
    </border>
    <border>
      <left style="hair">
        <color rgb="FF0000"/>
      </left>
      <right>
        <color rgb="FF0000"/>
      </right>
      <top>
        <color rgb="FF0000"/>
      </top>
      <bottom>
        <color rgb="FF0000"/>
      </bottom>
    </border>
    <border>
      <right>
        <color rgb="FF0000"/>
      </right>
      <top>
        <color rgb="FF0000"/>
      </top>
      <bottom>
        <color rgb="FF0000"/>
      </bottom>
    </border>
    <border>
      <left>
        <color rgb="FF0000"/>
      </left>
      <right>
        <color rgb="FF0000"/>
      </right>
      <top>
        <color rgb="FF0000"/>
      </top>
      <bottom>
        <color rgb="FF0000"/>
      </bottom>
    </border>
    <border>
      <left>
        <color rgb="FF0000"/>
      </left>
      <right>
        <color rgb="FF0000"/>
      </right>
      <top style="dotted">
        <color rgb="FF0000"/>
      </top>
      <bottom>
        <color rgb="FF0000"/>
      </bottom>
    </border>
    <border>
      <left>
        <color rgb="FF0000"/>
      </left>
      <right style="dotted">
        <color rgb="FF0000"/>
      </right>
      <top style="dotted">
        <color rgb="FF0000"/>
      </top>
      <bottom>
        <color rgb="FF0000"/>
      </bottom>
    </border>
    <border>
      <left>
        <color rgb="FF0000"/>
      </left>
      <right style="dotted">
        <color rgb="FF0000"/>
      </right>
      <top style="dotted">
        <color rgb="FF0000"/>
      </top>
      <bottom style="dotted">
        <color rgb="FF0000"/>
      </bottom>
    </border>
    <border>
      <left style="dotted">
        <color rgb="FF0000"/>
      </left>
      <right style="dotted">
        <color rgb="FF0000"/>
      </right>
      <top style="dotted">
        <color rgb="FF0000"/>
      </top>
      <bottom style="dotted">
        <color rgb="FF0000"/>
      </bottom>
    </border>
    <border>
      <left>
        <color rgb="FF0000"/>
      </left>
      <right>
        <color rgb="FF0000"/>
      </right>
      <top style="hair">
        <color rgb="FF0000"/>
      </top>
      <bottom>
        <color rgb="FF0000"/>
      </bottom>
    </border>
    <border>
      <left>
        <color rgb="FF0000"/>
      </left>
      <right style="hair">
        <color rgb="FF0000"/>
      </right>
      <top style="hair">
        <color rgb="FF0000"/>
      </top>
      <bottom>
        <color rgb="FF0000"/>
      </bottom>
    </border>
    <border>
      <left>
        <color rgb="FF0000"/>
      </left>
      <right style="hair">
        <color rgb="FF0000"/>
      </right>
      <top style="hair">
        <color rgb="FF0000"/>
      </top>
      <bottom style="hair">
        <color rgb="FF0000"/>
      </bottom>
    </border>
    <border>
      <left style="mediumDashed">
        <color rgb="FF0000"/>
      </left>
      <right style="mediumDashed">
        <color rgb="FF0000"/>
      </right>
      <bottom style="mediumDashed">
        <color rgb="FF0000"/>
      </bottom>
    </border>
    <border>
      <left style="mediumDashed">
        <color rgb="FF0000"/>
      </left>
      <right style="mediumDashed">
        <color rgb="FF0000"/>
      </right>
      <top>
        <color rgb="FF0000"/>
      </top>
      <bottom style="mediumDashed">
        <color rgb="FF0000"/>
      </bottom>
    </border>
    <border>
      <left style="mediumDashed">
        <color rgb="FF0000"/>
      </left>
      <top>
        <color rgb="FF0000"/>
      </top>
      <bottom style="mediumDashed">
        <color rgb="FF0000"/>
      </bottom>
    </border>
    <border>
      <left style="mediumDashed">
        <color rgb="FF0000"/>
      </left>
      <right>
        <color rgb="FF0000"/>
      </right>
      <top>
        <color rgb="FF0000"/>
      </top>
      <bottom style="mediumDashed">
        <color rgb="FF0000"/>
      </bottom>
    </border>
    <border>
      <left style="mediumDashed">
        <color rgb="FF0000"/>
      </left>
      <right>
        <color rgb="FF0000"/>
      </right>
      <top>
        <color rgb="FF0000"/>
      </top>
    </border>
    <border>
      <left style="mediumDashed">
        <color rgb="FF0000"/>
      </left>
      <right>
        <color rgb="FF0000"/>
      </right>
      <top>
        <color rgb="FF0000"/>
      </top>
      <bottom>
        <color rgb="FF0000"/>
      </bottom>
    </border>
    <border>
      <left style="thin">
        <color rgb="FF0000"/>
      </left>
      <right style="thin">
        <color rgb="FF0000"/>
      </right>
      <bottom style="thin">
        <color rgb="FF0000"/>
      </bottom>
    </border>
    <border>
      <left style="thin">
        <color rgb="FF0000"/>
      </left>
      <right style="thin">
        <color rgb="FF0000"/>
      </right>
      <top>
        <color rgb="FF0000"/>
      </top>
      <bottom style="thin">
        <color rgb="FF0000"/>
      </bottom>
    </border>
    <border>
      <left style="thin">
        <color rgb="FF0000"/>
      </left>
      <top>
        <color rgb="FF0000"/>
      </top>
      <bottom style="thin">
        <color rgb="FF0000"/>
      </bottom>
    </border>
    <border>
      <left style="thin">
        <color rgb="FF0000"/>
      </left>
      <right>
        <color rgb="FF0000"/>
      </right>
      <top>
        <color rgb="FF0000"/>
      </top>
      <bottom style="thin">
        <color rgb="FF0000"/>
      </bottom>
    </border>
    <border>
      <left style="thin">
        <color rgb="FF0000"/>
      </left>
      <right>
        <color rgb="FF0000"/>
      </right>
      <top>
        <color rgb="FF0000"/>
      </top>
    </border>
    <border>
      <left style="thin">
        <color rgb="FF0000"/>
      </left>
      <right>
        <color rgb="FF0000"/>
      </right>
      <top>
        <color rgb="FF0000"/>
      </top>
      <bottom>
        <color rgb="FF0000"/>
      </bottom>
    </border>
    <border>
      <left style="dotted">
        <color rgb="FF0000"/>
      </left>
      <right style="dotted">
        <color rgb="FF0000"/>
      </right>
      <bottom style="dotted">
        <color rgb="FF0000"/>
      </bottom>
    </border>
    <border>
      <left style="dotted">
        <color rgb="FF0000"/>
      </left>
      <right style="dotted">
        <color rgb="FF0000"/>
      </right>
      <top>
        <color rgb="FF0000"/>
      </top>
      <bottom style="dotted">
        <color rgb="FF0000"/>
      </bottom>
    </border>
    <border>
      <left style="dotted">
        <color rgb="FF0000"/>
      </left>
      <top>
        <color rgb="FF0000"/>
      </top>
      <bottom style="dotted">
        <color rgb="FF0000"/>
      </bottom>
    </border>
    <border>
      <left style="dotted">
        <color rgb="FF0000"/>
      </left>
      <right>
        <color rgb="FF0000"/>
      </right>
      <top>
        <color rgb="FF0000"/>
      </top>
      <bottom style="dotted">
        <color rgb="FF0000"/>
      </bottom>
    </border>
    <border>
      <left style="dotted">
        <color rgb="FF0000"/>
      </left>
      <right>
        <color rgb="FF0000"/>
      </right>
      <top>
        <color rgb="FF0000"/>
      </top>
    </border>
    <border>
      <left style="dotted">
        <color rgb="FF0000"/>
      </left>
      <right>
        <color rgb="FF0000"/>
      </right>
      <top>
        <color rgb="FF0000"/>
      </top>
      <bottom>
        <color rgb="FF0000"/>
      </bottom>
    </border>
    <border>
      <left>
        <color rgb="FF0000"/>
      </left>
      <right>
        <color rgb="FF0000"/>
      </right>
      <bottom>
        <color rgb="FF0000"/>
      </bottom>
    </border>
    <border>
      <left>
        <color rgb="FF0000"/>
      </left>
      <top>
        <color rgb="FF0000"/>
      </top>
      <bottom>
        <color rgb="FF0000"/>
      </bottom>
    </border>
    <border>
      <left>
        <color rgb="FF0000"/>
      </left>
      <right>
        <color rgb="FF0000"/>
      </right>
      <top>
        <color rgb="FF0000"/>
      </top>
    </border>
    <border>
      <left>
        <color rgb="FF0000"/>
      </left>
      <right>
        <color rgb="FF0000"/>
      </right>
      <top style="dashed">
        <color rgb="FF0000"/>
      </top>
      <bottom>
        <color rgb="FF0000"/>
      </bottom>
    </border>
    <border>
      <left>
        <color rgb="FF0000"/>
      </left>
      <right style="dashed">
        <color rgb="FF0000"/>
      </right>
      <top style="dashed">
        <color rgb="FF0000"/>
      </top>
      <bottom>
        <color rgb="FF0000"/>
      </bottom>
    </border>
    <border>
      <left>
        <color rgb="FF0000"/>
      </left>
      <right style="dashed">
        <color rgb="FF0000"/>
      </right>
      <top style="dashed">
        <color rgb="FF0000"/>
      </top>
      <bottom style="dashed">
        <color rgb="FF0000"/>
      </bottom>
    </border>
    <border>
      <left style="dashed">
        <color rgb="FF0000"/>
      </left>
      <right style="dashed">
        <color rgb="FF0000"/>
      </right>
      <top style="dashed">
        <color rgb="FF0000"/>
      </top>
      <bottom style="dashed">
        <color rgb="FF0000"/>
      </bottom>
    </border>
    <border>
      <left>
        <color rgb="FF0000"/>
      </left>
      <right>
        <color rgb="FF0000"/>
      </right>
      <top style="thin">
        <color rgb="FF0000"/>
      </top>
      <bottom>
        <color rgb="FF0000"/>
      </bottom>
    </border>
    <border>
      <left>
        <color rgb="FF0000"/>
      </left>
      <right style="thin">
        <color rgb="FF0000"/>
      </right>
      <top style="thin">
        <color rgb="FF0000"/>
      </top>
      <bottom>
        <color rgb="FF0000"/>
      </bottom>
    </border>
    <border>
      <left>
        <color rgb="FF0000"/>
      </left>
      <right style="thin">
        <color rgb="FF0000"/>
      </right>
      <top style="thin">
        <color rgb="FF0000"/>
      </top>
      <bottom style="thin">
        <color rgb="FF0000"/>
      </bottom>
    </border>
    <border>
      <left>
        <color rgb="FF0000"/>
      </left>
      <right>
        <color rgb="FF0000"/>
      </right>
      <top style="dashDot">
        <color rgb="FF0000"/>
      </top>
      <bottom>
        <color rgb="FF0000"/>
      </bottom>
    </border>
    <border>
      <left>
        <color rgb="FF0000"/>
      </left>
      <right style="dashDot">
        <color rgb="FF0000"/>
      </right>
      <top style="dashDot">
        <color rgb="FF0000"/>
      </top>
      <bottom>
        <color rgb="FF0000"/>
      </bottom>
    </border>
    <border>
      <left>
        <color rgb="FF0000"/>
      </left>
      <right style="dashDot">
        <color rgb="FF0000"/>
      </right>
      <top style="dashDot">
        <color rgb="FF0000"/>
      </top>
      <bottom style="dashDot">
        <color rgb="FF0000"/>
      </bottom>
    </border>
    <border>
      <left style="dashDot">
        <color rgb="FF0000"/>
      </left>
      <right style="dashDot">
        <color rgb="FF0000"/>
      </right>
      <top style="dashDot">
        <color rgb="FF0000"/>
      </top>
      <bottom style="dashDot">
        <color rgb="FF0000"/>
      </bottom>
    </border>
    <border>
      <left>
        <color rgb="FF0000"/>
      </left>
      <right>
        <color rgb="FF0000"/>
      </right>
      <top style="dashDotDot">
        <color rgb="FF0000"/>
      </top>
      <bottom>
        <color rgb="FF0000"/>
      </bottom>
    </border>
    <border>
      <left>
        <color rgb="FF0000"/>
      </left>
      <right style="dashDotDot">
        <color rgb="FF0000"/>
      </right>
      <top style="dashDotDot">
        <color rgb="FF0000"/>
      </top>
      <bottom>
        <color rgb="FF0000"/>
      </bottom>
    </border>
    <border>
      <left>
        <color rgb="FF0000"/>
      </left>
      <right style="dashDotDot">
        <color rgb="FF0000"/>
      </right>
      <top style="dashDotDot">
        <color rgb="FF0000"/>
      </top>
      <bottom style="dashDotDot">
        <color rgb="FF0000"/>
      </bottom>
    </border>
    <border>
      <left style="dashDotDot">
        <color rgb="FF0000"/>
      </left>
      <right style="dashDotDot">
        <color rgb="FF0000"/>
      </right>
      <top style="dashDotDot">
        <color rgb="FF0000"/>
      </top>
      <bottom style="dashDotDot">
        <color rgb="FF0000"/>
      </bottom>
    </border>
    <border>
      <left/>
      <right/>
      <top>
        <color rgb="FF0000"/>
      </top>
      <bottom/>
      <diagonal/>
    </border>
    <border>
      <left/>
      <right>
        <color rgb="FF0000"/>
      </right>
      <top>
        <color rgb="FF0000"/>
      </top>
      <bottom/>
      <diagonal/>
    </border>
    <border>
      <left>
        <color rgb="FF0000"/>
      </left>
      <right>
        <color rgb="FF0000"/>
      </right>
      <top style="mediumDashed">
        <color rgb="FF0000"/>
      </top>
      <bottom>
        <color rgb="FF0000"/>
      </bottom>
    </border>
    <border>
      <left>
        <color rgb="FF0000"/>
      </left>
      <right style="mediumDashed">
        <color rgb="FF0000"/>
      </right>
      <top style="mediumDashed">
        <color rgb="FF0000"/>
      </top>
      <bottom>
        <color rgb="FF0000"/>
      </bottom>
    </border>
    <border>
      <left>
        <color rgb="FF0000"/>
      </left>
      <right style="mediumDashed">
        <color rgb="FF0000"/>
      </right>
      <top style="mediumDashed">
        <color rgb="FF0000"/>
      </top>
      <bottom style="mediumDashed">
        <color rgb="FF0000"/>
      </bottom>
    </border>
    <border>
      <left>
        <color rgb="FF0000"/>
      </left>
      <right>
        <color rgb="FF0000"/>
      </right>
      <top style="medium">
        <color rgb="FF0000"/>
      </top>
      <bottom>
        <color rgb="FF0000"/>
      </bottom>
    </border>
    <border>
      <left>
        <color rgb="FF0000"/>
      </left>
      <right style="medium">
        <color rgb="FF0000"/>
      </right>
      <top style="medium">
        <color rgb="FF0000"/>
      </top>
      <bottom>
        <color rgb="FF0000"/>
      </bottom>
    </border>
    <border>
      <left>
        <color rgb="FF0000"/>
      </left>
      <right style="medium">
        <color rgb="FF0000"/>
      </right>
      <top style="medium">
        <color rgb="FF0000"/>
      </top>
      <bottom style="medium">
        <color rgb="FF0000"/>
      </bottom>
    </border>
    <border>
      <left style="medium">
        <color rgb="FF0000"/>
      </left>
      <right style="medium">
        <color rgb="FF0000"/>
      </right>
      <top style="medium">
        <color rgb="FF0000"/>
      </top>
      <bottom style="medium">
        <color rgb="FF0000"/>
      </bottom>
    </border>
    <border>
      <left>
        <color rgb="FF0000"/>
      </left>
      <right>
        <color rgb="FF0000"/>
      </right>
      <top style="thick">
        <color rgb="FF0000"/>
      </top>
      <bottom>
        <color rgb="FF0000"/>
      </bottom>
    </border>
    <border>
      <left>
        <color rgb="FF0000"/>
      </left>
      <right style="thick">
        <color rgb="FF0000"/>
      </right>
      <top style="thick">
        <color rgb="FF0000"/>
      </top>
      <bottom>
        <color rgb="FF0000"/>
      </bottom>
    </border>
    <border>
      <left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left>
        <color rgb="FF0000"/>
      </left>
      <right>
        <color rgb="FF0000"/>
      </right>
      <top style="mediumDashDot">
        <color rgb="FF0000"/>
      </top>
      <bottom>
        <color rgb="FF0000"/>
      </bottom>
    </border>
    <border>
      <left>
        <color rgb="FF0000"/>
      </left>
      <right style="mediumDashDot">
        <color rgb="FF0000"/>
      </right>
      <top style="mediumDashDot">
        <color rgb="FF0000"/>
      </top>
      <bottom>
        <color rgb="FF0000"/>
      </bottom>
    </border>
    <border>
      <left>
        <color rgb="FF0000"/>
      </left>
      <right style="mediumDashDot">
        <color rgb="FF0000"/>
      </right>
      <top style="mediumDashDot">
        <color rgb="FF0000"/>
      </top>
      <bottom style="mediumDashDot">
        <color rgb="FF0000"/>
      </bottom>
    </border>
    <border>
      <left>
        <color rgb="FF0000"/>
      </left>
      <right>
        <color rgb="FF0000"/>
      </right>
      <top style="mediumDashDotDot">
        <color rgb="FF0000"/>
      </top>
      <bottom>
        <color rgb="FF0000"/>
      </bottom>
    </border>
    <border>
      <left>
        <color rgb="FF0000"/>
      </left>
      <right style="mediumDashDotDot">
        <color rgb="FF0000"/>
      </right>
      <top style="mediumDashDotDot">
        <color rgb="FF0000"/>
      </top>
      <bottom>
        <color rgb="FF0000"/>
      </bottom>
    </border>
    <border>
      <left>
        <color rgb="FF0000"/>
      </left>
      <right style="mediumDashDotDot">
        <color rgb="FF0000"/>
      </right>
      <top style="mediumDashDotDot">
        <color rgb="FF0000"/>
      </top>
      <bottom style="mediumDashDotDot">
        <color rgb="FF0000"/>
      </bottom>
    </border>
    <border>
      <left style="mediumDashDotDot">
        <color rgb="FF0000"/>
      </left>
      <right style="mediumDashDotDot">
        <color rgb="FF0000"/>
      </right>
      <top style="mediumDashDotDot">
        <color rgb="FF0000"/>
      </top>
      <bottom style="mediumDashDotDot">
        <color rgb="FF0000"/>
      </bottom>
    </border>
    <border>
      <left style="mediumDashed">
        <color rgb="0000FF"/>
      </left>
      <right style="mediumDashed">
        <color rgb="0000FF"/>
      </right>
      <bottom style="mediumDashed">
        <color rgb="0000FF"/>
      </bottom>
    </border>
    <border>
      <left style="mediumDashed">
        <color rgb="0000FF"/>
      </left>
      <right style="mediumDashed">
        <color rgb="0000FF"/>
      </right>
      <top>
        <color rgb="FF0000"/>
      </top>
      <bottom style="mediumDashed">
        <color rgb="0000FF"/>
      </bottom>
    </border>
    <border>
      <left style="mediumDashed">
        <color rgb="0000FF"/>
      </left>
      <top>
        <color rgb="FF0000"/>
      </top>
      <bottom style="mediumDashed">
        <color rgb="0000FF"/>
      </bottom>
    </border>
    <border>
      <left style="mediumDashed">
        <color rgb="0000FF"/>
      </left>
      <right>
        <color rgb="FF0000"/>
      </right>
      <top>
        <color rgb="FF0000"/>
      </top>
      <bottom style="mediumDashed">
        <color rgb="0000FF"/>
      </bottom>
    </border>
    <border>
      <left style="mediumDashed">
        <color rgb="0000FF"/>
      </left>
      <right>
        <color rgb="FF0000"/>
      </right>
      <top>
        <color rgb="FF0000"/>
      </top>
    </border>
    <border>
      <left style="mediumDashed">
        <color rgb="0000FF"/>
      </left>
      <right>
        <color rgb="FF0000"/>
      </right>
      <top>
        <color rgb="FF0000"/>
      </top>
      <bottom>
        <color rgb="FF0000"/>
      </bottom>
    </border>
    <border>
      <left>
        <color rgb="FF0000"/>
      </left>
      <right>
        <color rgb="FF0000"/>
      </right>
      <top style="dotted">
        <color rgb="0000FF"/>
      </top>
      <bottom>
        <color rgb="FF0000"/>
      </bottom>
    </border>
    <border>
      <left>
        <color rgb="FF0000"/>
      </left>
      <right style="dotted">
        <color rgb="FF0000"/>
      </right>
      <top style="dotted">
        <color rgb="0000FF"/>
      </top>
      <bottom>
        <color rgb="FF0000"/>
      </bottom>
    </border>
    <border>
      <left>
        <color rgb="FF0000"/>
      </left>
      <right style="dotted">
        <color rgb="0000FF"/>
      </right>
      <top style="dotted">
        <color rgb="0000FF"/>
      </top>
      <bottom>
        <color rgb="FF0000"/>
      </bottom>
    </border>
    <border>
      <left>
        <color rgb="FF0000"/>
      </left>
      <right style="dotted">
        <color rgb="0000FF"/>
      </right>
      <top style="dotted">
        <color rgb="0000FF"/>
      </top>
      <bottom style="dotted">
        <color rgb="FF0000"/>
      </bottom>
    </border>
    <border>
      <left>
        <color rgb="FF0000"/>
      </left>
      <right style="dotted">
        <color rgb="0000FF"/>
      </right>
      <top style="dotted">
        <color rgb="0000FF"/>
      </top>
      <bottom style="dotted">
        <color rgb="0000FF"/>
      </bottom>
    </border>
    <border>
      <left style="dotted">
        <color rgb="FF0000"/>
      </left>
      <right style="dotted">
        <color rgb="0000FF"/>
      </right>
      <top style="dotted">
        <color rgb="0000FF"/>
      </top>
      <bottom style="dotted">
        <color rgb="0000FF"/>
      </bottom>
    </border>
    <border>
      <left style="dotted">
        <color rgb="0000FF"/>
      </left>
      <right style="dotted">
        <color rgb="0000FF"/>
      </right>
      <top style="dotted">
        <color rgb="0000FF"/>
      </top>
      <bottom style="dotted">
        <color rgb="0000FF"/>
      </bottom>
    </border>
    <border>
      <right style="dotted">
        <color rgb="000000"/>
      </right>
      <bottom style="mediumDashed">
        <color rgb="000000"/>
      </bottom>
    </border>
    <border>
      <right style="dotted">
        <color rgb="0000FF"/>
      </right>
      <bottom style="mediumDashed">
        <color rgb="000000"/>
      </bottom>
    </border>
    <border>
      <right style="dotted">
        <color rgb="0000FF"/>
      </right>
      <bottom style="dotted">
        <color rgb="000000"/>
      </bottom>
    </border>
    <border>
      <right style="dotted">
        <color rgb="0000FF"/>
      </right>
      <bottom style="dotted">
        <color rgb="0000FF"/>
      </bottom>
    </border>
    <border>
      <left style="mediumDashed">
        <color rgb="000000"/>
      </left>
      <bottom style="dotted">
        <color rgb="000000"/>
      </bottom>
    </border>
    <border>
      <left style="mediumDashed">
        <color rgb="000000"/>
      </left>
      <bottom style="dotted">
        <color rgb="0000FF"/>
      </bottom>
    </border>
    <border>
      <left style="dotted">
        <color rgb="000000"/>
      </left>
      <bottom style="dotted">
        <color rgb="0000FF"/>
      </bottom>
    </border>
    <border>
      <left style="dotted">
        <color rgb="0000FF"/>
      </left>
      <bottom style="dotted">
        <color rgb="0000FF"/>
      </bottom>
    </border>
    <border>
      <right style="mediumDashed">
        <color rgb="000000"/>
      </right>
      <top style="dotted">
        <color rgb="000000"/>
      </top>
    </border>
    <border>
      <right style="mediumDashed">
        <color rgb="000000"/>
      </right>
      <top style="dotted">
        <color rgb="0000FF"/>
      </top>
    </border>
    <border>
      <right style="dotted">
        <color rgb="000000"/>
      </right>
      <top style="dotted">
        <color rgb="0000FF"/>
      </top>
    </border>
    <border>
      <right style="dotted">
        <color rgb="0000FF"/>
      </right>
      <top style="dotted">
        <color rgb="0000FF"/>
      </top>
    </border>
    <border>
      <left style="mediumDashed">
        <color rgb="000000"/>
      </left>
      <top style="dotted">
        <color rgb="000000"/>
      </top>
    </border>
    <border>
      <left style="mediumDashed">
        <color rgb="000000"/>
      </left>
      <top style="dotted">
        <color rgb="0000FF"/>
      </top>
    </border>
    <border>
      <left style="dotted">
        <color rgb="000000"/>
      </left>
      <top style="dotted">
        <color rgb="0000FF"/>
      </top>
    </border>
    <border>
      <left style="dotted">
        <color rgb="0000FF"/>
      </left>
      <top style="dotted">
        <color rgb="0000FF"/>
      </top>
    </border>
    <border>
      <right style="mediumDashed">
        <color rgb="0000FF"/>
      </right>
      <bottom style="dotted">
        <color rgb="0000FF"/>
      </bottom>
    </border>
    <border>
      <right style="mediumDashed">
        <color rgb="0000FF"/>
      </right>
      <bottom style="mediumDashed">
        <color rgb="0000FF"/>
      </bottom>
    </border>
    <border>
      <left style="dotted">
        <color rgb="0000FF"/>
      </left>
      <bottom style="mediumDashed">
        <color rgb="0000FF"/>
      </bottom>
    </border>
    <border>
      <left style="mediumDashed">
        <color rgb="0000FF"/>
      </left>
      <bottom style="mediumDashed">
        <color rgb="0000FF"/>
      </bottom>
    </border>
    <border>
      <right style="dotted">
        <color rgb="0000FF"/>
      </right>
      <top style="mediumDashed">
        <color rgb="0000FF"/>
      </top>
    </border>
    <border>
      <left style="dotted">
        <color rgb="0000FF"/>
      </left>
      <top style="mediumDashed">
        <color rgb="0000FF"/>
      </top>
    </border>
    <border>
      <left style="mediumDashed">
        <color rgb="0000FF"/>
      </left>
      <top style="mediumDashed">
        <color rgb="0000FF"/>
      </top>
    </border>
    <border>
      <right style="hair">
        <color rgb="0000FF"/>
      </right>
      <bottom style="mediumDashed">
        <color rgb="0000FF"/>
      </bottom>
    </border>
    <border>
      <right style="hair">
        <color rgb="0000FF"/>
      </right>
      <bottom style="hair">
        <color rgb="0000FF"/>
      </bottom>
    </border>
    <border>
      <left style="mediumDashed">
        <color rgb="0000FF"/>
      </left>
      <bottom style="hair">
        <color rgb="0000FF"/>
      </bottom>
    </border>
    <border>
      <left style="hair">
        <color rgb="0000FF"/>
      </left>
      <bottom style="hair">
        <color rgb="0000FF"/>
      </bottom>
    </border>
    <border>
      <right style="mediumDashed">
        <color rgb="0000FF"/>
      </right>
      <top style="hair">
        <color rgb="0000FF"/>
      </top>
    </border>
    <border>
      <right style="hair">
        <color rgb="0000FF"/>
      </right>
      <top style="hair">
        <color rgb="0000FF"/>
      </top>
    </border>
    <border>
      <left style="mediumDashed">
        <color rgb="0000FF"/>
      </left>
      <top style="hair">
        <color rgb="0000FF"/>
      </top>
    </border>
    <border>
      <left style="hair">
        <color rgb="0000FF"/>
      </left>
      <top style="hair">
        <color rgb="0000FF"/>
      </top>
    </border>
    <border>
      <right style="mediumDashed">
        <color rgb="0000FF"/>
      </right>
      <bottom style="hair">
        <color rgb="0000FF"/>
      </bottom>
    </border>
    <border>
      <left style="hair">
        <color rgb="0000FF"/>
      </left>
      <bottom style="mediumDashed">
        <color rgb="0000FF"/>
      </bottom>
    </border>
    <border>
      <right style="hair">
        <color rgb="0000FF"/>
      </right>
      <top style="mediumDashed">
        <color rgb="0000FF"/>
      </top>
    </border>
    <border>
      <left style="hair">
        <color rgb="0000FF"/>
      </left>
      <top style="mediumDashed">
        <color rgb="0000FF"/>
      </top>
    </border>
    <border>
      <left style="thin">
        <color rgb="90EE90"/>
      </left>
      <top style="thick">
        <color rgb="90EE90"/>
      </top>
      <bottom style="thin">
        <color rgb="90EE90"/>
      </bottom>
    </border>
    <border>
      <left style="thin">
        <color rgb="90EE90"/>
      </left>
      <top style="thick">
        <color rgb="00FF00"/>
      </top>
      <bottom style="thin">
        <color rgb="90EE90"/>
      </bottom>
    </border>
    <border>
      <left style="thick">
        <color rgb="90EE90"/>
      </left>
      <top style="thick">
        <color rgb="00FF00"/>
      </top>
      <bottom style="thin">
        <color rgb="90EE90"/>
      </bottom>
    </border>
    <border>
      <left style="thick">
        <color rgb="00FF00"/>
      </left>
      <top style="thick">
        <color rgb="00FF00"/>
      </top>
      <bottom style="thin">
        <color rgb="90EE90"/>
      </bottom>
    </border>
    <border>
      <right style="thin">
        <color rgb="90EE90"/>
      </right>
      <top style="thick">
        <color rgb="90EE90"/>
      </top>
      <bottom style="thin">
        <color rgb="90EE90"/>
      </bottom>
    </border>
    <border>
      <right style="thin">
        <color rgb="90EE90"/>
      </right>
      <top style="thick">
        <color rgb="00FF00"/>
      </top>
      <bottom style="thin">
        <color rgb="90EE90"/>
      </bottom>
    </border>
    <border>
      <right style="thick">
        <color rgb="90EE90"/>
      </right>
      <top style="thick">
        <color rgb="00FF00"/>
      </top>
      <bottom style="thin">
        <color rgb="90EE90"/>
      </bottom>
    </border>
    <border>
      <right style="thick">
        <color rgb="00FF00"/>
      </right>
      <top style="thick">
        <color rgb="00FF00"/>
      </top>
      <bottom style="thin">
        <color rgb="90EE90"/>
      </bottom>
    </border>
    <border>
      <left style="thick">
        <color rgb="90EE90"/>
      </left>
      <top style="thin">
        <color rgb="90EE90"/>
      </top>
      <bottom style="thin">
        <color rgb="90EE90"/>
      </bottom>
    </border>
    <border>
      <left style="thick">
        <color rgb="00FF00"/>
      </left>
      <top style="thin">
        <color rgb="90EE90"/>
      </top>
      <bottom style="thin">
        <color rgb="90EE90"/>
      </bottom>
    </border>
    <border>
      <right style="thick">
        <color rgb="90EE90"/>
      </right>
      <top style="thin">
        <color rgb="90EE90"/>
      </top>
      <bottom style="thin">
        <color rgb="90EE90"/>
      </bottom>
    </border>
    <border>
      <right style="thick">
        <color rgb="00FF00"/>
      </right>
      <top style="thin">
        <color rgb="90EE90"/>
      </top>
      <bottom style="thin">
        <color rgb="90EE90"/>
      </bottom>
    </border>
    <border>
      <left style="thin">
        <color rgb="90EE90"/>
      </left>
      <top style="thin">
        <color rgb="90EE90"/>
      </top>
      <bottom style="thick">
        <color rgb="90EE90"/>
      </bottom>
    </border>
    <border>
      <left style="thin">
        <color rgb="90EE90"/>
      </left>
      <top style="thin">
        <color rgb="90EE90"/>
      </top>
      <bottom style="thick">
        <color rgb="00FF00"/>
      </bottom>
    </border>
    <border>
      <left style="thick">
        <color rgb="90EE90"/>
      </left>
      <top style="thin">
        <color rgb="90EE90"/>
      </top>
      <bottom style="thick">
        <color rgb="00FF00"/>
      </bottom>
    </border>
    <border>
      <left style="thick">
        <color rgb="00FF00"/>
      </left>
      <top style="thin">
        <color rgb="90EE90"/>
      </top>
      <bottom style="thick">
        <color rgb="00FF00"/>
      </bottom>
    </border>
    <border>
      <right style="thick">
        <color rgb="00FF00"/>
      </right>
      <top style="thin">
        <color rgb="90EE90"/>
      </top>
      <bottom style="thick">
        <color rgb="90EE90"/>
      </bottom>
    </border>
    <border>
      <right style="thick">
        <color rgb="00FF00"/>
      </right>
      <top style="thin">
        <color rgb="90EE90"/>
      </top>
      <bottom style="thick">
        <color rgb="00FF00"/>
      </bottom>
    </border>
    <border>
      <left style="thick">
        <color rgb="00FF00"/>
      </left>
      <top style="thick">
        <color rgb="00FF00"/>
      </top>
      <bottom style="thick">
        <color rgb="90EE90"/>
      </bottom>
    </border>
    <border>
      <left style="thick">
        <color rgb="00FF00"/>
      </left>
      <top style="thick">
        <color rgb="00FF00"/>
      </top>
      <bottom style="thick">
        <color rgb="00FF00"/>
      </bottom>
    </border>
    <border>
      <right style="thick">
        <color rgb="00FF00"/>
      </right>
      <top style="thick">
        <color rgb="00FF00"/>
      </top>
      <bottom style="thick">
        <color rgb="90EE90"/>
      </bottom>
    </border>
    <border>
      <right style="thick">
        <color rgb="00FF00"/>
      </right>
      <top style="thick">
        <color rgb="00FF00"/>
      </top>
      <bottom style="thick">
        <color rgb="00FF00"/>
      </bottom>
    </border>
    <border>
      <left style="thick">
        <color rgb="00FF00"/>
      </left>
      <top style="thin">
        <color rgb="90EE90"/>
      </top>
      <bottom style="thick">
        <color rgb="90EE90"/>
      </bottom>
    </border>
    <border>
      <left style="thin">
        <color rgb="CDCD00"/>
      </left>
      <right style="thick">
        <color rgb="CDCD00"/>
      </right>
      <top style="thin">
        <color rgb="CDCD00"/>
      </top>
    </border>
    <border>
      <left style="thin">
        <color rgb="CDCD00"/>
      </left>
      <right style="thick">
        <color rgb="FF9900"/>
      </right>
      <top style="thin">
        <color rgb="CDCD00"/>
      </top>
    </border>
    <border>
      <left style="thin">
        <color rgb="CDCD00"/>
      </left>
      <right style="thick">
        <color rgb="CDCD00"/>
      </right>
    </border>
    <border>
      <left style="thin">
        <color rgb="CDCD00"/>
      </left>
      <right style="thick">
        <color rgb="FF9900"/>
      </right>
    </border>
    <border>
      <left style="thin">
        <color rgb="CDCD00"/>
      </left>
      <right style="thick">
        <color rgb="CDCD00"/>
      </right>
      <bottom style="thin">
        <color rgb="CDCD00"/>
      </bottom>
    </border>
    <border>
      <left style="thin">
        <color rgb="CDCD00"/>
      </left>
      <right style="thick">
        <color rgb="FF9900"/>
      </right>
      <bottom style="thin">
        <color rgb="CDCD00"/>
      </bottom>
    </border>
    <border>
      <left style="thin">
        <color rgb="CDCD00"/>
      </left>
      <right style="thick">
        <color rgb="FF9900"/>
      </right>
      <top style="thick">
        <color rgb="CDCD00"/>
      </top>
    </border>
    <border>
      <left style="thin">
        <color rgb="CDCD00"/>
      </left>
      <right style="thick">
        <color rgb="FF9900"/>
      </right>
      <top style="thick">
        <color rgb="FF9900"/>
      </top>
    </border>
    <border>
      <left style="thick">
        <color rgb="CDCD00"/>
      </left>
      <right style="thick">
        <color rgb="FF9900"/>
      </right>
      <top style="thick">
        <color rgb="FF9900"/>
      </top>
    </border>
    <border>
      <left style="thick">
        <color rgb="FF9900"/>
      </left>
      <right style="thick">
        <color rgb="FF9900"/>
      </right>
      <top style="thick">
        <color rgb="FF9900"/>
      </top>
    </border>
    <border>
      <left style="thin">
        <color rgb="CDCD00"/>
      </left>
      <right style="thin">
        <color rgb="CDCD00"/>
      </right>
      <top style="thick">
        <color rgb="CDCD00"/>
      </top>
    </border>
    <border>
      <left style="thin">
        <color rgb="CDCD00"/>
      </left>
      <right style="thin">
        <color rgb="CDCD00"/>
      </right>
      <top style="thick">
        <color rgb="FF9900"/>
      </top>
    </border>
    <border>
      <left style="thin">
        <color rgb="CDCD00"/>
      </left>
      <right style="thick">
        <color rgb="CDCD00"/>
      </right>
      <top style="thick">
        <color rgb="FF9900"/>
      </top>
    </border>
    <border>
      <left style="thick">
        <color rgb="CDCD00"/>
      </left>
      <right style="thick">
        <color rgb="FF9900"/>
      </right>
    </border>
    <border>
      <left style="thick">
        <color rgb="FF9900"/>
      </left>
      <right style="thick">
        <color rgb="FF9900"/>
      </right>
    </border>
    <border>
      <left style="thin">
        <color rgb="CDCD00"/>
      </left>
      <right style="thick">
        <color rgb="FF9900"/>
      </right>
      <bottom style="thick">
        <color rgb="CDCD00"/>
      </bottom>
    </border>
    <border>
      <left style="thin">
        <color rgb="CDCD00"/>
      </left>
      <right style="thick">
        <color rgb="FF9900"/>
      </right>
      <bottom style="thick">
        <color rgb="FF9900"/>
      </bottom>
    </border>
    <border>
      <left style="thick">
        <color rgb="CDCD00"/>
      </left>
      <right style="thick">
        <color rgb="FF9900"/>
      </right>
      <bottom style="thick">
        <color rgb="FF9900"/>
      </bottom>
    </border>
    <border>
      <left style="thick">
        <color rgb="FF9900"/>
      </left>
      <right style="thick">
        <color rgb="FF9900"/>
      </right>
      <bottom style="thick">
        <color rgb="FF9900"/>
      </bottom>
    </border>
    <border>
      <left/>
      <right/>
      <top>
        <color rgb="FF9900"/>
      </top>
      <bottom/>
      <diagonal/>
    </border>
    <border>
      <left/>
      <right>
        <color rgb="FF9900"/>
      </right>
      <top>
        <color rgb="FF9900"/>
      </top>
      <bottom/>
      <diagonal/>
    </border>
    <border>
      <left/>
      <right>
        <color rgb="FF9900"/>
      </right>
      <top>
        <color rgb="FF9900"/>
      </top>
      <bottom>
        <color rgb="FF9900"/>
      </bottom>
      <diagonal/>
    </border>
    <border>
      <left>
        <color rgb="FF9900"/>
      </left>
      <right>
        <color rgb="FF9900"/>
      </right>
      <top>
        <color rgb="FF9900"/>
      </top>
      <bottom>
        <color rgb="FF9900"/>
      </bottom>
      <diagonal/>
    </border>
    <border>
      <bottom style="thick"/>
    </border>
    <border>
      <bottom style="thick">
        <color rgb="000000"/>
      </bottom>
    </border>
  </borders>
  <cellStyleXfs count="1">
    <xf numFmtId="0" fontId="0" fillId="0" borderId="0"/>
  </cellStyleXfs>
  <cellXfs count="1755">
    <xf numFmtId="0" fontId="0" fillId="0" borderId="95" xfId="0" applyBorder="true"/>
    <xf numFmtId="0" fontId="1" fillId="0" borderId="0" xfId="0" applyNumberFormat="true" applyFont="true" applyAlignment="true">
      <alignment horizontal="left" vertical="top"/>
    </xf>
    <xf numFmtId="0" fontId="2" fillId="0" borderId="0" xfId="0" applyNumberFormat="true" applyFont="true" applyAlignment="true">
      <alignment horizontal="left" vertical="top"/>
    </xf>
    <xf numFmtId="0" fontId="3" fillId="0" borderId="0" xfId="0" applyNumberFormat="true" applyFont="true" applyAlignment="true">
      <alignment horizontal="left" vertical="top"/>
    </xf>
    <xf numFmtId="0" fontId="4" fillId="0" borderId="0" xfId="0" applyNumberFormat="true" applyFont="true" applyAlignment="true">
      <alignment horizontal="left" vertical="top"/>
    </xf>
    <xf numFmtId="0" fontId="5" fillId="0" borderId="0" xfId="0" applyFont="true" applyAlignment="true">
      <alignment horizontal="left" vertical="top"/>
    </xf>
    <xf numFmtId="0" fontId="6" fillId="0" borderId="0" xfId="0" applyFont="true" applyAlignment="true">
      <alignment horizontal="left" vertical="top"/>
    </xf>
    <xf numFmtId="0" fontId="7" fillId="0" borderId="0" xfId="0" applyFont="true" applyAlignment="true">
      <alignment horizontal="left" vertical="top"/>
    </xf>
    <xf numFmtId="0" fontId="8" fillId="0" borderId="0" xfId="0" applyFont="true" applyAlignment="true">
      <alignment horizontal="left" vertical="top"/>
    </xf>
    <xf numFmtId="0" fontId="9" fillId="0" borderId="0" xfId="0" applyFont="true" applyAlignment="true">
      <alignment horizontal="left" vertical="top"/>
    </xf>
    <xf numFmtId="0" fontId="10" fillId="0" borderId="0" xfId="0" applyFont="true" applyAlignment="true">
      <alignment horizontal="left" vertical="top"/>
    </xf>
    <xf numFmtId="0" fontId="11" fillId="0" borderId="0" xfId="0" applyFont="true" applyAlignment="true">
      <alignment horizontal="left" vertical="top"/>
    </xf>
    <xf numFmtId="0" fontId="12" fillId="0" borderId="0" xfId="0" applyNumberFormat="true" applyFont="true" applyAlignment="true">
      <alignment horizontal="left" vertical="top"/>
    </xf>
    <xf numFmtId="0" fontId="13" fillId="0" borderId="0" xfId="0" applyFont="true" applyAlignment="true">
      <alignment horizontal="left" vertical="top"/>
    </xf>
    <xf numFmtId="0" fontId="14" fillId="3" borderId="0" xfId="0" applyFill="true" applyFont="true" applyAlignment="true">
      <alignment horizontal="left" vertical="top"/>
    </xf>
    <xf numFmtId="0" fontId="15" fillId="0" borderId="0" xfId="0" applyFont="true" applyAlignment="true">
      <alignment horizontal="left" vertical="top"/>
    </xf>
    <xf numFmtId="0" fontId="16" fillId="5" borderId="0" xfId="0" applyFill="true" applyFont="true" applyAlignment="true">
      <alignment horizontal="left" vertical="top"/>
    </xf>
    <xf numFmtId="0" fontId="17" fillId="0" borderId="0" xfId="0" applyFont="true" applyAlignment="true">
      <alignment horizontal="left" vertical="top"/>
    </xf>
    <xf numFmtId="0" fontId="18" fillId="0" borderId="0" xfId="0" applyFont="true" applyAlignment="true">
      <alignment horizontal="left" vertical="top"/>
    </xf>
    <xf numFmtId="0" fontId="19" fillId="0" borderId="0" xfId="0" applyFont="true" applyAlignment="true">
      <alignment horizontal="left" vertical="top"/>
    </xf>
    <xf numFmtId="0" fontId="20" fillId="0" borderId="0" xfId="0" applyFont="true" applyAlignment="true">
      <alignment horizontal="left" vertical="top"/>
    </xf>
    <xf numFmtId="0" fontId="21" fillId="0" borderId="0" xfId="0" applyFont="true" applyAlignment="true">
      <alignment horizontal="left" vertical="top"/>
    </xf>
    <xf numFmtId="0" fontId="22" fillId="0" borderId="0" xfId="0" applyFont="true" applyAlignment="true">
      <alignment horizontal="left" vertical="top"/>
    </xf>
    <xf numFmtId="0" fontId="23" fillId="0" borderId="0" xfId="0" applyFont="true" applyAlignment="true">
      <alignment horizontal="left" vertical="top"/>
    </xf>
    <xf numFmtId="0" fontId="24" fillId="0" borderId="0" xfId="0" applyFont="true" applyAlignment="true">
      <alignment horizontal="left" vertical="top"/>
    </xf>
    <xf numFmtId="0" fontId="25" fillId="0" borderId="0" xfId="0" applyFont="true" applyAlignment="true">
      <alignment horizontal="left" vertical="top"/>
    </xf>
    <xf numFmtId="0" fontId="26" fillId="0" borderId="0" xfId="0" applyFont="true" applyAlignment="true">
      <alignment horizontal="left" vertical="top"/>
    </xf>
    <xf numFmtId="0" fontId="27" fillId="0" borderId="0" xfId="0" applyFont="true" applyAlignment="true">
      <alignment horizontal="left" vertical="top"/>
    </xf>
    <xf numFmtId="0" fontId="28" fillId="0" borderId="0" xfId="0" applyFont="true" applyAlignment="true">
      <alignment horizontal="left" vertical="top"/>
    </xf>
    <xf numFmtId="0" fontId="29" fillId="0" borderId="0" xfId="0" applyFont="true" applyAlignment="true">
      <alignment horizontal="left" vertical="top"/>
    </xf>
    <xf numFmtId="0" fontId="30" fillId="0" borderId="0" xfId="0" applyFont="true" applyAlignment="true">
      <alignment horizontal="left" vertical="top"/>
    </xf>
    <xf numFmtId="0" fontId="31" fillId="0" borderId="0" xfId="0" applyFont="true" applyAlignment="true">
      <alignment horizontal="left" vertical="top"/>
    </xf>
    <xf numFmtId="0" fontId="32" fillId="0" borderId="0" xfId="0" applyFont="true" applyAlignment="true">
      <alignment horizontal="left" vertical="top"/>
    </xf>
    <xf numFmtId="0" fontId="33" fillId="0" borderId="0" xfId="0" applyFont="true" applyAlignment="true">
      <alignment horizontal="left" vertical="top"/>
    </xf>
    <xf numFmtId="0" fontId="34" fillId="0" borderId="0" xfId="0" applyNumberFormat="true" applyFont="true" applyAlignment="true">
      <alignment horizontal="left" vertical="top"/>
    </xf>
    <xf numFmtId="0" fontId="35" fillId="0" borderId="0" xfId="0" applyFont="true" applyAlignment="true">
      <alignment horizontal="left" vertical="top"/>
    </xf>
    <xf numFmtId="0" fontId="36" fillId="0" borderId="0" xfId="0" applyFont="true" applyAlignment="true">
      <alignment horizontal="left" vertical="top"/>
    </xf>
    <xf numFmtId="0" fontId="37" fillId="0" borderId="32" xfId="0" applyFont="true" applyAlignment="true" applyBorder="true">
      <alignment horizontal="left" vertical="top"/>
    </xf>
    <xf numFmtId="0" fontId="38" fillId="0" borderId="122" xfId="0" applyFont="true" applyAlignment="true" applyBorder="true">
      <alignment horizontal="left" vertical="top"/>
    </xf>
    <xf numFmtId="0" fontId="39" fillId="0" borderId="161" xfId="0" applyFont="true" applyAlignment="true" applyBorder="true">
      <alignment horizontal="left" vertical="top"/>
    </xf>
    <xf numFmtId="0" fontId="40" fillId="0" borderId="157" xfId="0" applyFont="true" applyAlignment="true" applyBorder="true">
      <alignment horizontal="left" vertical="top"/>
    </xf>
    <xf numFmtId="0" fontId="41" fillId="0" borderId="150" xfId="0" applyFont="true" applyAlignment="true" applyBorder="true">
      <alignment horizontal="left" vertical="top"/>
    </xf>
    <xf numFmtId="0" fontId="42" fillId="0" borderId="24" xfId="0" applyFont="true" applyAlignment="true" applyBorder="true">
      <alignment horizontal="left" vertical="top"/>
    </xf>
    <xf numFmtId="0" fontId="43" fillId="0" borderId="0" xfId="0" applyFont="true" applyAlignment="true">
      <alignment horizontal="left" vertical="top"/>
    </xf>
    <xf numFmtId="0" fontId="44" fillId="0" borderId="0" xfId="0" applyFont="true" applyAlignment="true">
      <alignment horizontal="left" vertical="top"/>
    </xf>
    <xf numFmtId="0" fontId="45" fillId="0" borderId="0" xfId="0" applyFont="true" applyAlignment="true">
      <alignment horizontal="left" vertical="top"/>
    </xf>
    <xf numFmtId="0" fontId="46" fillId="0" borderId="0" xfId="0" applyFont="true" applyAlignment="true">
      <alignment horizontal="left" vertical="top"/>
    </xf>
    <xf numFmtId="0" fontId="47" fillId="0" borderId="0" xfId="0" applyFont="true" applyAlignment="true">
      <alignment horizontal="left" vertical="top"/>
    </xf>
    <xf numFmtId="0" fontId="48" fillId="0" borderId="0" xfId="0" applyFont="true" applyAlignment="true">
      <alignment horizontal="left" vertical="top"/>
    </xf>
    <xf numFmtId="0" fontId="49" fillId="0" borderId="0" xfId="0" applyFont="true" applyAlignment="true">
      <alignment horizontal="left" vertical="top"/>
    </xf>
    <xf numFmtId="0" fontId="50" fillId="0" borderId="0" xfId="0" applyFont="true" applyAlignment="true">
      <alignment horizontal="left" vertical="top"/>
    </xf>
    <xf numFmtId="0" fontId="51" fillId="0" borderId="0" xfId="0" applyFont="true" applyAlignment="true">
      <alignment horizontal="left" vertical="top"/>
    </xf>
    <xf numFmtId="0" fontId="52" fillId="0" borderId="0" xfId="0" applyFont="true" applyAlignment="true">
      <alignment horizontal="left" vertical="top"/>
    </xf>
    <xf numFmtId="0" fontId="53" fillId="0" borderId="0" xfId="0" applyFont="true" applyAlignment="true">
      <alignment horizontal="left" vertical="top"/>
    </xf>
    <xf numFmtId="0" fontId="54" fillId="0" borderId="0" xfId="0" applyFont="true" applyAlignment="true">
      <alignment horizontal="left" vertical="top"/>
    </xf>
    <xf numFmtId="0" fontId="55" fillId="0" borderId="0" xfId="0" applyFont="true" applyAlignment="true">
      <alignment horizontal="left" vertical="top"/>
    </xf>
    <xf numFmtId="0" fontId="0" fillId="0" borderId="0" xfId="0" applyNumberFormat="true" applyAlignment="true">
      <alignment horizontal="left" vertical="top"/>
    </xf>
    <xf numFmtId="0" fontId="61" fillId="0" borderId="0" xfId="0" applyFont="true" applyAlignment="true">
      <alignment horizontal="left" vertical="top"/>
    </xf>
    <xf numFmtId="0" fontId="62" fillId="0" borderId="118" xfId="0" applyFont="true" applyAlignment="true" applyBorder="true">
      <alignment horizontal="left" vertical="top"/>
    </xf>
    <xf numFmtId="0" fontId="63" fillId="0" borderId="180" xfId="0" applyFont="true" applyAlignment="true" applyBorder="true">
      <alignment horizontal="left" vertical="top"/>
    </xf>
    <xf numFmtId="0" fontId="64" fillId="0" borderId="8" xfId="0" applyFont="true" applyAlignment="true" applyBorder="true">
      <alignment horizontal="left" vertical="top"/>
    </xf>
    <xf numFmtId="0" fontId="65" fillId="0" borderId="16" xfId="0" applyFont="true" applyAlignment="true" applyBorder="true">
      <alignment horizontal="left" vertical="top"/>
    </xf>
    <xf numFmtId="0" fontId="66" fillId="0" borderId="170" xfId="0" applyFont="true" applyAlignment="true" applyBorder="true">
      <alignment horizontal="left" vertical="top"/>
    </xf>
    <xf numFmtId="0" fontId="67" fillId="0" borderId="95" xfId="0" applyFont="true" applyAlignment="true" applyBorder="true">
      <alignment horizontal="left" vertical="top"/>
    </xf>
    <xf numFmtId="0" fontId="68" fillId="0" borderId="118" xfId="0" applyFont="true" applyAlignment="true" applyBorder="true">
      <alignment horizontal="left" vertical="top"/>
    </xf>
    <xf numFmtId="0" fontId="69" fillId="0" borderId="118" xfId="0" applyFont="true" applyAlignment="true" applyBorder="true">
      <alignment horizontal="left" vertical="top"/>
    </xf>
    <xf numFmtId="0" fontId="70" fillId="0" borderId="0" xfId="0" applyFont="true" applyAlignment="true">
      <alignment horizontal="left" vertical="top"/>
    </xf>
    <xf numFmtId="0" fontId="71" fillId="0" borderId="0" xfId="0" applyFont="true" applyAlignment="true">
      <alignment horizontal="left" vertical="top"/>
    </xf>
    <xf numFmtId="0" fontId="72" fillId="0" borderId="0" xfId="0" applyFont="true" applyAlignment="true">
      <alignment horizontal="left" vertical="top"/>
    </xf>
    <xf numFmtId="0" fontId="73" fillId="0" borderId="0" xfId="0" applyFont="true" applyAlignment="true">
      <alignment horizontal="left" vertical="top"/>
    </xf>
    <xf numFmtId="0" fontId="74" fillId="0" borderId="0" xfId="0" applyFont="true" applyAlignment="true">
      <alignment horizontal="left" vertical="top"/>
    </xf>
    <xf numFmtId="0" fontId="75" fillId="0" borderId="0" xfId="0" applyFont="true" applyAlignment="true">
      <alignment horizontal="left" vertical="top"/>
    </xf>
    <xf numFmtId="0" fontId="76" fillId="0" borderId="0" xfId="0" applyFont="true" applyAlignment="true">
      <alignment horizontal="left" vertical="top"/>
    </xf>
    <xf numFmtId="0" fontId="77" fillId="0" borderId="0" xfId="0" applyFont="true" applyAlignment="true">
      <alignment horizontal="left" vertical="top"/>
    </xf>
    <xf numFmtId="0" fontId="78" fillId="0" borderId="0" xfId="0" applyFont="true" applyAlignment="true">
      <alignment horizontal="left" vertical="top"/>
    </xf>
    <xf numFmtId="0" fontId="79" fillId="0" borderId="0" xfId="0" applyFont="true" applyAlignment="true">
      <alignment horizontal="left" vertical="top"/>
    </xf>
    <xf numFmtId="0" fontId="80" fillId="0" borderId="0" xfId="0" applyFont="true" applyAlignment="true">
      <alignment horizontal="left" vertical="top"/>
    </xf>
    <xf numFmtId="0" fontId="81" fillId="0" borderId="0" xfId="0" applyFont="true" applyAlignment="true">
      <alignment horizontal="left" vertical="top"/>
    </xf>
    <xf numFmtId="0" fontId="82" fillId="0" borderId="0" xfId="0" applyFont="true" applyAlignment="true">
      <alignment horizontal="left" vertical="top"/>
    </xf>
    <xf numFmtId="0" fontId="83" fillId="0" borderId="0" xfId="0" applyFont="true" applyAlignment="true">
      <alignment horizontal="left" vertical="top"/>
    </xf>
    <xf numFmtId="0" fontId="84" fillId="0" borderId="193" xfId="0" applyFont="true" applyAlignment="true" applyBorder="true">
      <alignment horizontal="left" vertical="top"/>
    </xf>
    <xf numFmtId="0" fontId="85" fillId="0" borderId="193" xfId="0" applyFont="true" applyAlignment="true" applyBorder="true">
      <alignment horizontal="left" vertical="top"/>
    </xf>
    <xf numFmtId="0" fontId="86" fillId="0" borderId="0" xfId="0" applyFont="true" applyAlignment="true">
      <alignment horizontal="left" vertical="top"/>
    </xf>
    <xf numFmtId="0" fontId="87" fillId="0" borderId="42" xfId="0" applyFont="true" applyAlignment="true" applyBorder="true">
      <alignment horizontal="left" vertical="top"/>
    </xf>
    <xf numFmtId="0" fontId="88" fillId="0" borderId="44" xfId="0" applyFont="true" applyAlignment="true" applyBorder="true">
      <alignment horizontal="left" vertical="top"/>
    </xf>
    <xf numFmtId="0" fontId="89" fillId="0" borderId="0" xfId="0" applyFont="true" applyAlignment="true">
      <alignment horizontal="left" vertical="top"/>
    </xf>
    <xf numFmtId="0" fontId="90" fillId="0" borderId="211" xfId="0" applyFont="true" applyAlignment="true" applyBorder="true">
      <alignment horizontal="left" vertical="top"/>
    </xf>
    <xf numFmtId="0" fontId="91" fillId="0" borderId="213" xfId="0" applyFont="true" applyAlignment="true" applyBorder="true">
      <alignment horizontal="left" vertical="top"/>
    </xf>
    <xf numFmtId="0" fontId="92" fillId="0" borderId="0" xfId="0" applyFont="true" applyAlignment="true">
      <alignment horizontal="left" vertical="top"/>
    </xf>
    <xf numFmtId="0" fontId="93" fillId="0" borderId="0" xfId="0" applyFont="true" applyAlignment="true">
      <alignment horizontal="left" vertical="top"/>
    </xf>
    <xf numFmtId="0" fontId="94" fillId="0" borderId="0" xfId="0" applyFont="true" applyAlignment="true">
      <alignment horizontal="left" vertical="top"/>
    </xf>
    <xf numFmtId="0" fontId="95" fillId="0" borderId="193" xfId="0" applyFont="true" applyAlignment="true" applyBorder="true">
      <alignment horizontal="left" vertical="top"/>
    </xf>
    <xf numFmtId="0" fontId="96" fillId="0" borderId="193" xfId="0" applyFont="true" applyAlignment="true" applyBorder="true">
      <alignment horizontal="left" vertical="top"/>
    </xf>
    <xf numFmtId="0" fontId="97" fillId="0" borderId="0" xfId="0" applyFont="true" applyAlignment="true">
      <alignment horizontal="left" vertical="top"/>
    </xf>
    <xf numFmtId="0" fontId="98" fillId="0" borderId="56" xfId="0" applyFont="true" applyAlignment="true" applyBorder="true">
      <alignment horizontal="left" vertical="top"/>
    </xf>
    <xf numFmtId="0" fontId="99" fillId="0" borderId="60" xfId="0" applyFont="true" applyAlignment="true" applyBorder="true">
      <alignment horizontal="left" vertical="top"/>
    </xf>
    <xf numFmtId="0" fontId="100" fillId="0" borderId="0" xfId="0" applyFont="true" applyAlignment="true">
      <alignment horizontal="left" vertical="top"/>
    </xf>
    <xf numFmtId="0" fontId="101" fillId="0" borderId="35" xfId="0" applyFont="true" applyAlignment="true" applyBorder="true">
      <alignment horizontal="left" vertical="top"/>
    </xf>
    <xf numFmtId="0" fontId="102" fillId="0" borderId="216" xfId="0" applyFont="true" applyAlignment="true" applyBorder="true">
      <alignment horizontal="left" vertical="top"/>
    </xf>
    <xf numFmtId="0" fontId="103" fillId="0" borderId="0" xfId="0" applyFont="true" applyAlignment="true">
      <alignment horizontal="left" vertical="top"/>
    </xf>
    <xf numFmtId="0" fontId="104" fillId="0" borderId="0" xfId="0" applyFont="true" applyAlignment="true">
      <alignment horizontal="left" vertical="top"/>
    </xf>
    <xf numFmtId="0" fontId="105" fillId="0" borderId="0" xfId="0" applyFont="true" applyAlignment="true">
      <alignment horizontal="left" vertical="top"/>
    </xf>
    <xf numFmtId="0" fontId="106" fillId="0" borderId="0" xfId="0" applyFont="true" applyAlignment="true">
      <alignment horizontal="left" vertical="top"/>
    </xf>
    <xf numFmtId="0" fontId="107" fillId="0" borderId="0" xfId="0" applyFont="true" applyAlignment="true">
      <alignment horizontal="left" vertical="top"/>
    </xf>
    <xf numFmtId="0" fontId="108" fillId="0" borderId="0" xfId="0" applyFont="true" applyAlignment="true">
      <alignment horizontal="left" vertical="top"/>
    </xf>
    <xf numFmtId="0" fontId="109" fillId="0" borderId="0" xfId="0" applyFont="true" applyAlignment="true">
      <alignment horizontal="left" vertical="top"/>
    </xf>
    <xf numFmtId="0" fontId="110" fillId="0" borderId="0" xfId="0" applyFont="true" applyAlignment="true">
      <alignment horizontal="left" vertical="top"/>
    </xf>
    <xf numFmtId="0" fontId="111" fillId="0" borderId="0" xfId="0" applyFont="true" applyAlignment="true">
      <alignment horizontal="left" vertical="top"/>
    </xf>
    <xf numFmtId="0" fontId="112" fillId="0" borderId="0" xfId="0" applyFont="true" applyAlignment="true">
      <alignment horizontal="left" vertical="top"/>
    </xf>
    <xf numFmtId="0" fontId="113" fillId="0" borderId="0" xfId="0" applyFont="true" applyAlignment="true">
      <alignment horizontal="left" vertical="top"/>
    </xf>
    <xf numFmtId="0" fontId="114" fillId="0" borderId="0" xfId="0" applyFont="true" applyAlignment="true">
      <alignment horizontal="left" vertical="top"/>
    </xf>
    <xf numFmtId="0" fontId="115" fillId="0" borderId="0" xfId="0" applyFont="true" applyAlignment="true">
      <alignment horizontal="left" vertical="top"/>
    </xf>
    <xf numFmtId="0" fontId="116" fillId="0" borderId="0" xfId="0" applyFont="true" applyAlignment="true">
      <alignment horizontal="left" vertical="top"/>
    </xf>
    <xf numFmtId="0" fontId="117" fillId="0" borderId="248" xfId="0" applyFont="true" applyAlignment="true" applyBorder="true">
      <alignment horizontal="left" vertical="top"/>
    </xf>
    <xf numFmtId="0" fontId="118" fillId="0" borderId="250" xfId="0" applyFont="true" applyAlignment="true" applyBorder="true">
      <alignment horizontal="left" vertical="top"/>
    </xf>
    <xf numFmtId="0" fontId="119" fillId="0" borderId="0" xfId="0" applyFont="true" applyAlignment="true">
      <alignment horizontal="left" vertical="top"/>
    </xf>
    <xf numFmtId="0" fontId="120" fillId="0" borderId="261" xfId="0" applyFont="true" applyAlignment="true" applyBorder="true">
      <alignment horizontal="left" vertical="top"/>
    </xf>
    <xf numFmtId="0" fontId="121" fillId="0" borderId="259" xfId="0" applyFont="true" applyAlignment="true" applyBorder="true">
      <alignment horizontal="left" vertical="top"/>
    </xf>
    <xf numFmtId="0" fontId="122" fillId="0" borderId="259" xfId="0" applyFont="true" applyAlignment="true" applyBorder="true">
      <alignment horizontal="left" vertical="top"/>
    </xf>
    <xf numFmtId="0" fontId="123" fillId="0" borderId="0" xfId="0" applyFont="true" applyAlignment="true">
      <alignment horizontal="left" vertical="top"/>
    </xf>
    <xf numFmtId="0" fontId="124" fillId="0" borderId="0" xfId="0" applyFont="true" applyAlignment="true">
      <alignment horizontal="left" vertical="top"/>
    </xf>
    <xf numFmtId="0" fontId="125" fillId="0" borderId="95" xfId="0" applyFont="true" applyAlignment="true" applyBorder="true">
      <alignment horizontal="left" vertical="top"/>
    </xf>
    <xf numFmtId="0" fontId="126" fillId="0" borderId="0" xfId="0" applyFont="true" applyAlignment="true">
      <alignment horizontal="left" vertical="top"/>
    </xf>
    <xf numFmtId="0" fontId="127" fillId="0" borderId="0" xfId="0" applyFont="true" applyAlignment="true">
      <alignment horizontal="left" vertical="top"/>
    </xf>
    <xf numFmtId="0" fontId="128" fillId="0" borderId="244" xfId="0" applyFont="true" applyAlignment="true" applyBorder="true">
      <alignment horizontal="left" vertical="top"/>
    </xf>
    <xf numFmtId="0" fontId="129" fillId="0" borderId="246" xfId="0" applyFont="true" applyAlignment="true" applyBorder="true">
      <alignment horizontal="left" vertical="top"/>
    </xf>
    <xf numFmtId="0" fontId="130" fillId="0" borderId="0" xfId="0" applyFont="true" applyAlignment="true">
      <alignment horizontal="left" vertical="top"/>
    </xf>
    <xf numFmtId="0" fontId="131" fillId="0" borderId="266" xfId="0" applyFont="true" applyAlignment="true" applyBorder="true">
      <alignment horizontal="left" vertical="top"/>
    </xf>
    <xf numFmtId="0" fontId="132" fillId="0" borderId="255" xfId="0" applyFont="true" applyAlignment="true" applyBorder="true">
      <alignment horizontal="left" vertical="top"/>
    </xf>
    <xf numFmtId="0" fontId="133" fillId="0" borderId="255" xfId="0" applyFont="true" applyAlignment="true" applyBorder="true">
      <alignment horizontal="left" vertical="top"/>
    </xf>
    <xf numFmtId="0" fontId="134" fillId="0" borderId="0" xfId="0" applyFont="true" applyAlignment="true">
      <alignment horizontal="left" vertical="top"/>
    </xf>
    <xf numFmtId="0" fontId="135" fillId="0" borderId="0" xfId="0" applyFont="true" applyAlignment="true">
      <alignment horizontal="left" vertical="top"/>
    </xf>
    <xf numFmtId="0" fontId="136" fillId="0" borderId="0" xfId="0" applyFont="true" applyAlignment="true">
      <alignment horizontal="left" vertical="top"/>
    </xf>
    <xf numFmtId="0" fontId="137" fillId="0" borderId="0" xfId="0" applyFont="true" applyAlignment="true">
      <alignment horizontal="left" vertical="top"/>
    </xf>
    <xf numFmtId="0" fontId="138" fillId="0" borderId="0" xfId="0" applyFont="true" applyAlignment="true">
      <alignment horizontal="left" vertical="top"/>
    </xf>
    <xf numFmtId="0" fontId="139" fillId="0" borderId="244" xfId="0" applyFont="true" applyAlignment="true" applyBorder="true">
      <alignment horizontal="left" vertical="top"/>
    </xf>
    <xf numFmtId="0" fontId="140" fillId="0" borderId="246" xfId="0" applyFont="true" applyAlignment="true" applyBorder="true">
      <alignment horizontal="left" vertical="top"/>
    </xf>
    <xf numFmtId="0" fontId="141" fillId="0" borderId="0" xfId="0" applyFont="true" applyAlignment="true">
      <alignment horizontal="left" vertical="top"/>
    </xf>
    <xf numFmtId="0" fontId="142" fillId="0" borderId="270" xfId="0" applyFont="true" applyAlignment="true" applyBorder="true">
      <alignment horizontal="left" vertical="top"/>
    </xf>
    <xf numFmtId="0" fontId="143" fillId="0" borderId="268" xfId="0" applyFont="true" applyAlignment="true" applyBorder="true">
      <alignment horizontal="left" vertical="top"/>
    </xf>
    <xf numFmtId="0" fontId="144" fillId="0" borderId="268" xfId="0" applyFont="true" applyAlignment="true" applyBorder="true">
      <alignment horizontal="left" vertical="top"/>
    </xf>
    <xf numFmtId="0" fontId="145" fillId="0" borderId="0" xfId="0" applyFont="true" applyAlignment="true">
      <alignment horizontal="left" vertical="top"/>
    </xf>
    <xf numFmtId="0" fontId="146" fillId="0" borderId="0" xfId="0" applyFont="true" applyAlignment="true">
      <alignment horizontal="left" vertical="top"/>
    </xf>
    <xf numFmtId="0" fontId="147" fillId="0" borderId="0" xfId="0" applyFont="true" applyAlignment="true">
      <alignment horizontal="left" vertical="top"/>
    </xf>
    <xf numFmtId="0" fontId="148" fillId="0" borderId="0" xfId="0" applyFont="true" applyAlignment="true">
      <alignment horizontal="left" vertical="top"/>
    </xf>
    <xf numFmtId="0" fontId="149" fillId="0" borderId="0" xfId="0" applyFont="true" applyAlignment="true">
      <alignment horizontal="left" vertical="top"/>
    </xf>
    <xf numFmtId="0" fontId="150" fillId="0" borderId="0" xfId="0" applyFont="true" applyAlignment="true">
      <alignment horizontal="left" vertical="top"/>
    </xf>
    <xf numFmtId="0" fontId="151" fillId="0" borderId="0" xfId="0" applyFont="true" applyAlignment="true">
      <alignment horizontal="left" vertical="top"/>
    </xf>
    <xf numFmtId="0" fontId="152" fillId="0" borderId="0" xfId="0" applyFont="true" applyAlignment="true">
      <alignment horizontal="left" vertical="top"/>
    </xf>
    <xf numFmtId="0" fontId="153" fillId="0" borderId="0" xfId="0" applyFont="true" applyAlignment="true">
      <alignment horizontal="left" vertical="top"/>
    </xf>
    <xf numFmtId="0" fontId="154" fillId="0" borderId="0" xfId="0" applyFont="true" applyAlignment="true">
      <alignment horizontal="left" vertical="top"/>
    </xf>
    <xf numFmtId="0" fontId="155" fillId="0" borderId="0" xfId="0" applyFont="true" applyAlignment="true">
      <alignment horizontal="left" vertical="top"/>
    </xf>
    <xf numFmtId="0" fontId="156" fillId="0" borderId="0" xfId="0" applyFont="true"/>
    <xf numFmtId="0" fontId="157" fillId="0" borderId="0" xfId="0" applyFont="true" applyAlignment="true">
      <alignment horizontal="left" vertical="top"/>
    </xf>
    <xf numFmtId="0" fontId="158" fillId="0" borderId="0" xfId="0" applyFont="true" applyAlignment="true">
      <alignment horizontal="left" vertical="top"/>
    </xf>
    <xf numFmtId="0" fontId="159" fillId="0" borderId="0" xfId="0" applyNumberFormat="true" applyFont="true" applyAlignment="true">
      <alignment horizontal="left" vertical="top"/>
    </xf>
    <xf numFmtId="0" fontId="160" fillId="0" borderId="0" xfId="0" applyFont="true" applyAlignment="true">
      <alignment horizontal="left" vertical="top"/>
    </xf>
    <xf numFmtId="0" fontId="161" fillId="0" borderId="0" xfId="0" applyFont="true" applyAlignment="true">
      <alignment horizontal="left" vertical="top"/>
    </xf>
    <xf numFmtId="0" fontId="162" fillId="0" borderId="0" xfId="0" applyFont="true"/>
    <xf numFmtId="0" fontId="163" fillId="0" borderId="0" xfId="0" applyFont="true" applyAlignment="true">
      <alignment horizontal="left" vertical="top"/>
    </xf>
    <xf numFmtId="0" fontId="164" fillId="0" borderId="0" xfId="0" applyFont="true"/>
    <xf numFmtId="0" fontId="165" fillId="0" borderId="0" xfId="0" applyFont="true" applyAlignment="true">
      <alignment horizontal="left" vertical="top"/>
    </xf>
    <xf numFmtId="0" fontId="166" fillId="0" borderId="0" xfId="0" applyFont="true"/>
    <xf numFmtId="0" fontId="167" fillId="0" borderId="0" xfId="0" applyFont="true"/>
    <xf numFmtId="0" fontId="168" fillId="0" borderId="0" xfId="0" applyFont="true" applyAlignment="true">
      <alignment horizontal="left" vertical="top"/>
    </xf>
    <xf numFmtId="0" fontId="169" fillId="0" borderId="0" xfId="0" applyFont="true" applyAlignment="true">
      <alignment horizontal="left" vertical="top"/>
    </xf>
    <xf numFmtId="0" fontId="170" fillId="0" borderId="0" xfId="0" applyFont="true" applyAlignment="true">
      <alignment horizontal="left" vertical="top"/>
    </xf>
    <xf numFmtId="0" fontId="171" fillId="0" borderId="0" xfId="0" applyFont="true" applyAlignment="true">
      <alignment horizontal="left" vertical="top"/>
    </xf>
    <xf numFmtId="0" fontId="172" fillId="0" borderId="0" xfId="0" applyFont="true" applyAlignment="true">
      <alignment horizontal="left" vertical="top"/>
    </xf>
    <xf numFmtId="0" fontId="173" fillId="0" borderId="0" xfId="0" applyFont="true" applyAlignment="true">
      <alignment horizontal="left" vertical="top"/>
    </xf>
    <xf numFmtId="0" fontId="174" fillId="0" borderId="0" xfId="0" applyFont="true" applyAlignment="true">
      <alignment horizontal="left" vertical="top"/>
    </xf>
    <xf numFmtId="0" fontId="175" fillId="0" borderId="0" xfId="0" applyFont="true"/>
    <xf numFmtId="0" fontId="176" fillId="0" borderId="0" xfId="0" applyFont="true" applyAlignment="true">
      <alignment horizontal="left" vertical="top"/>
    </xf>
    <xf numFmtId="0" fontId="177" fillId="0" borderId="0" xfId="0" applyFont="true"/>
    <xf numFmtId="0" fontId="178" fillId="0" borderId="0" xfId="0" applyFont="true"/>
    <xf numFmtId="0" fontId="179" fillId="0" borderId="0" xfId="0" applyFont="true" applyAlignment="true">
      <alignment horizontal="left" vertical="top"/>
    </xf>
    <xf numFmtId="0" fontId="180" fillId="0" borderId="0" xfId="0" applyFont="true" applyAlignment="true">
      <alignment horizontal="left" vertical="top"/>
    </xf>
    <xf numFmtId="0" fontId="181" fillId="0" borderId="0" xfId="0" applyFont="true"/>
    <xf numFmtId="0" fontId="182" fillId="0" borderId="0" xfId="0" applyFont="true"/>
    <xf numFmtId="0" fontId="183" fillId="0" borderId="0" xfId="0" applyFont="true" applyAlignment="true">
      <alignment horizontal="left" vertical="top"/>
    </xf>
    <xf numFmtId="0" fontId="184" fillId="0" borderId="0" xfId="0" applyFont="true" applyAlignment="true">
      <alignment horizontal="left" vertical="top"/>
    </xf>
    <xf numFmtId="0" fontId="185" fillId="0" borderId="0" xfId="0" applyFont="true" applyAlignment="true">
      <alignment horizontal="left" vertical="top"/>
    </xf>
    <xf numFmtId="0" fontId="186" fillId="0" borderId="0" xfId="0" applyFont="true" applyAlignment="true">
      <alignment horizontal="left" vertical="top"/>
    </xf>
    <xf numFmtId="0" fontId="187" fillId="0" borderId="0" xfId="0" applyFont="true" applyAlignment="true">
      <alignment horizontal="left" vertical="top"/>
    </xf>
    <xf numFmtId="0" fontId="188" fillId="0" borderId="0" xfId="0" applyFont="true" applyAlignment="true">
      <alignment horizontal="left" vertical="top"/>
    </xf>
    <xf numFmtId="0" fontId="189" fillId="0" borderId="0" xfId="0" applyFont="true" applyAlignment="true">
      <alignment horizontal="left" vertical="top"/>
    </xf>
    <xf numFmtId="0" fontId="190" fillId="0" borderId="0" xfId="0" applyFont="true" applyAlignment="true">
      <alignment horizontal="left" vertical="top"/>
    </xf>
    <xf numFmtId="0" fontId="191" fillId="0" borderId="0" xfId="0" applyFont="true" applyAlignment="true">
      <alignment horizontal="left" vertical="top"/>
    </xf>
    <xf numFmtId="0" fontId="192" fillId="0" borderId="0" xfId="0" applyFont="true" applyAlignment="true">
      <alignment horizontal="left" vertical="top"/>
    </xf>
    <xf numFmtId="0" fontId="193" fillId="0" borderId="0" xfId="0" applyFont="true" applyAlignment="true">
      <alignment horizontal="left" vertical="top"/>
    </xf>
    <xf numFmtId="0" fontId="194" fillId="0" borderId="0" xfId="0" applyFont="true"/>
    <xf numFmtId="0" fontId="195" fillId="0" borderId="0" xfId="0" applyFont="true"/>
    <xf numFmtId="0" fontId="196" fillId="0" borderId="0" xfId="0" applyNumberFormat="true" applyFont="true" applyAlignment="true">
      <alignment horizontal="left" vertical="top"/>
    </xf>
    <xf numFmtId="0" fontId="197" fillId="0" borderId="0" xfId="0" applyFont="true" applyAlignment="true">
      <alignment horizontal="left" vertical="top"/>
    </xf>
    <xf numFmtId="0" fontId="198" fillId="0" borderId="0" xfId="0" applyNumberFormat="true" applyFont="true" applyAlignment="true">
      <alignment horizontal="left" vertical="top"/>
    </xf>
    <xf numFmtId="0" fontId="199" fillId="0" borderId="0" xfId="0" applyNumberFormat="true" applyFont="true" applyAlignment="true">
      <alignment horizontal="left" vertical="top"/>
    </xf>
    <xf numFmtId="0" fontId="200" fillId="0" borderId="0" xfId="0" applyNumberFormat="true" applyFont="true" applyAlignment="true">
      <alignment horizontal="left" vertical="top"/>
    </xf>
    <xf numFmtId="0" fontId="201" fillId="0" borderId="0" xfId="0" applyNumberFormat="true" applyFont="true" applyAlignment="true">
      <alignment horizontal="left" vertical="top"/>
    </xf>
    <xf numFmtId="0" fontId="202" fillId="7" borderId="0" xfId="0" applyNumberFormat="true" applyFill="true" applyFont="true" applyAlignment="true">
      <alignment horizontal="left" vertical="top"/>
    </xf>
    <xf numFmtId="0" fontId="203" fillId="0" borderId="0" xfId="0" applyNumberFormat="true" applyFont="true" applyAlignment="true">
      <alignment horizontal="left" vertical="top"/>
    </xf>
    <xf numFmtId="0" fontId="204" fillId="0" borderId="0" xfId="0" applyFont="true" applyAlignment="true">
      <alignment horizontal="left" vertical="top"/>
    </xf>
    <xf numFmtId="0" fontId="205" fillId="0" borderId="0" xfId="0" applyFont="true" applyAlignment="true">
      <alignment horizontal="left" vertical="top"/>
    </xf>
    <xf numFmtId="0" fontId="206" fillId="0" borderId="0" xfId="0" applyFont="true" applyAlignment="true">
      <alignment horizontal="left" vertical="top"/>
    </xf>
    <xf numFmtId="0" fontId="207" fillId="0" borderId="0" xfId="0" applyFont="true"/>
    <xf numFmtId="0" fontId="208" fillId="0" borderId="0" xfId="0" applyFont="true"/>
    <xf numFmtId="0" fontId="209" fillId="0" borderId="0" xfId="0" applyFont="true" applyAlignment="true">
      <alignment horizontal="left" vertical="top"/>
    </xf>
    <xf numFmtId="0" fontId="210" fillId="0" borderId="0" xfId="0" applyFont="true" applyAlignment="true">
      <alignment horizontal="left" vertical="top"/>
    </xf>
    <xf numFmtId="0" fontId="211" fillId="0" borderId="0" xfId="0" applyFont="true" applyAlignment="true">
      <alignment horizontal="left" vertical="top"/>
    </xf>
    <xf numFmtId="0" fontId="212" fillId="0" borderId="0" xfId="0" applyFont="true" applyAlignment="true">
      <alignment horizontal="left" vertical="top"/>
    </xf>
    <xf numFmtId="0" fontId="213" fillId="0" borderId="0" xfId="0" applyFont="true" applyAlignment="true">
      <alignment horizontal="left" vertical="top"/>
    </xf>
    <xf numFmtId="0" fontId="214" fillId="0" borderId="0" xfId="0" applyFont="true" applyAlignment="true">
      <alignment horizontal="left" vertical="top"/>
    </xf>
    <xf numFmtId="0" fontId="215" fillId="0" borderId="0" xfId="0" applyFont="true" applyAlignment="true">
      <alignment horizontal="left" vertical="top"/>
    </xf>
    <xf numFmtId="0" fontId="216" fillId="0" borderId="0" xfId="0" applyFont="true" applyAlignment="true">
      <alignment horizontal="left" vertical="top"/>
    </xf>
    <xf numFmtId="0" fontId="217" fillId="0" borderId="0" xfId="0" applyFont="true" applyAlignment="true">
      <alignment horizontal="left" vertical="top"/>
    </xf>
    <xf numFmtId="0" fontId="218" fillId="0" borderId="0" xfId="0" applyFont="true" applyAlignment="true">
      <alignment horizontal="left" vertical="top"/>
    </xf>
    <xf numFmtId="0" fontId="219" fillId="0" borderId="0" xfId="0" applyFont="true" applyAlignment="true">
      <alignment horizontal="left" vertical="top"/>
    </xf>
    <xf numFmtId="0" fontId="220" fillId="0" borderId="0" xfId="0" applyFont="true"/>
    <xf numFmtId="0" fontId="221" fillId="0" borderId="0" xfId="0" applyFont="true"/>
    <xf numFmtId="0" fontId="222" fillId="0" borderId="0" xfId="0" applyFont="true" applyAlignment="true">
      <alignment horizontal="left" vertical="top"/>
    </xf>
    <xf numFmtId="0" fontId="223" fillId="0" borderId="0" xfId="0" applyFont="true" applyAlignment="true">
      <alignment horizontal="left" vertical="top"/>
    </xf>
    <xf numFmtId="0" fontId="224" fillId="9" borderId="0" xfId="0" applyNumberFormat="true" applyFill="true" applyFont="true" applyAlignment="true">
      <alignment horizontal="left" vertical="top"/>
    </xf>
    <xf numFmtId="0" fontId="225" fillId="0" borderId="0" xfId="0" applyNumberFormat="true" applyFont="true" applyAlignment="true">
      <alignment horizontal="left" vertical="top"/>
    </xf>
    <xf numFmtId="0" fontId="226" fillId="0" borderId="0" xfId="0" applyNumberFormat="true" applyFont="true" applyAlignment="true">
      <alignment horizontal="left" vertical="top"/>
    </xf>
    <xf numFmtId="0" fontId="227" fillId="0" borderId="0" xfId="0" applyNumberFormat="true" applyFont="true" applyAlignment="true">
      <alignment horizontal="left" vertical="top"/>
    </xf>
    <xf numFmtId="0" fontId="228" fillId="0" borderId="274" xfId="0" applyNumberFormat="true" applyFont="true" applyAlignment="true" applyBorder="true">
      <alignment horizontal="left" vertical="center"/>
    </xf>
    <xf numFmtId="0" fontId="229" fillId="0" borderId="0" xfId="0" applyNumberFormat="true" applyFont="true" applyAlignment="true">
      <alignment horizontal="left" vertical="top"/>
    </xf>
    <xf numFmtId="0" fontId="230" fillId="0" borderId="0" xfId="0" applyFont="true" applyAlignment="true">
      <alignment horizontal="left" vertical="top"/>
    </xf>
    <xf numFmtId="0" fontId="231" fillId="0" borderId="0" xfId="0" applyFont="true" applyAlignment="true">
      <alignment horizontal="left" vertical="top"/>
    </xf>
    <xf numFmtId="0" fontId="232" fillId="0" borderId="0" xfId="0" applyFont="true" applyAlignment="true">
      <alignment horizontal="left" vertical="top"/>
    </xf>
    <xf numFmtId="0" fontId="233" fillId="0" borderId="0" xfId="0" applyFont="true" applyAlignment="true">
      <alignment horizontal="left" vertical="top"/>
    </xf>
    <xf numFmtId="0" fontId="234" fillId="0" borderId="0" xfId="0" applyFont="true" applyAlignment="true">
      <alignment horizontal="left" vertical="top"/>
    </xf>
    <xf numFmtId="0" fontId="235" fillId="0" borderId="0" xfId="0" applyFont="true" applyAlignment="true">
      <alignment horizontal="left" vertical="top"/>
    </xf>
    <xf numFmtId="0" fontId="236" fillId="0" borderId="0" xfId="0" applyFont="true" applyAlignment="true">
      <alignment horizontal="left" vertical="top"/>
    </xf>
    <xf numFmtId="0" fontId="237" fillId="0" borderId="0" xfId="0" applyFont="true" applyAlignment="true">
      <alignment horizontal="left" vertical="top"/>
    </xf>
    <xf numFmtId="0" fontId="238" fillId="0" borderId="0" xfId="0" applyFont="true" applyAlignment="true">
      <alignment horizontal="left" vertical="top"/>
    </xf>
    <xf numFmtId="0" fontId="239" fillId="0" borderId="0" xfId="0" applyFont="true" applyAlignment="true">
      <alignment horizontal="left" vertical="top"/>
    </xf>
    <xf numFmtId="0" fontId="240" fillId="0" borderId="0" xfId="0" applyFont="true" applyAlignment="true">
      <alignment horizontal="left" vertical="top"/>
    </xf>
    <xf numFmtId="0" fontId="241" fillId="0" borderId="0" xfId="0" applyFont="true" applyAlignment="true">
      <alignment horizontal="left" vertical="top"/>
    </xf>
    <xf numFmtId="0" fontId="242" fillId="0" borderId="0" xfId="0" applyFont="true" applyAlignment="true">
      <alignment horizontal="left" vertical="top"/>
    </xf>
    <xf numFmtId="0" fontId="243" fillId="0" borderId="0" xfId="0" applyFont="true" applyAlignment="true">
      <alignment horizontal="left" vertical="top"/>
    </xf>
    <xf numFmtId="0" fontId="244" fillId="0" borderId="0" xfId="0" applyNumberFormat="true" applyFont="true" applyAlignment="true">
      <alignment horizontal="left" vertical="top"/>
    </xf>
    <xf numFmtId="0" fontId="245" fillId="0" borderId="0" xfId="0" applyFont="true" applyAlignment="true">
      <alignment horizontal="left" vertical="top"/>
    </xf>
    <xf numFmtId="164" fontId="246" fillId="0" borderId="0" xfId="0" applyNumberFormat="true" applyFont="true" applyAlignment="true">
      <alignment horizontal="left" vertical="top"/>
    </xf>
    <xf numFmtId="165" fontId="247" fillId="0" borderId="0" xfId="0" applyNumberFormat="true" applyFont="true" applyAlignment="true">
      <alignment horizontal="left" vertical="top"/>
    </xf>
    <xf numFmtId="166" fontId="248" fillId="0" borderId="0" xfId="0" applyNumberFormat="true" applyFont="true" applyAlignment="true">
      <alignment horizontal="left" vertical="top"/>
    </xf>
    <xf numFmtId="9" fontId="249" fillId="0" borderId="0" xfId="0" applyNumberFormat="true" applyFont="true" applyAlignment="true">
      <alignment horizontal="left" vertical="top"/>
    </xf>
    <xf numFmtId="12" fontId="250" fillId="0" borderId="0" xfId="0" applyNumberFormat="true" applyFont="true" applyAlignment="true">
      <alignment horizontal="left" vertical="top"/>
    </xf>
    <xf numFmtId="0" fontId="251" fillId="0" borderId="0" xfId="0" applyFont="true" applyAlignment="true">
      <alignment horizontal="left" vertical="top"/>
    </xf>
    <xf numFmtId="0" fontId="252" fillId="0" borderId="0" xfId="0" applyFont="true" applyAlignment="true">
      <alignment horizontal="left" vertical="top"/>
    </xf>
    <xf numFmtId="0" fontId="253" fillId="0" borderId="0" xfId="0" applyFont="true" applyAlignment="true">
      <alignment horizontal="left" vertical="top"/>
    </xf>
    <xf numFmtId="0" fontId="254" fillId="0" borderId="0" xfId="0" applyFont="true" applyAlignment="true">
      <alignment horizontal="left" vertical="top"/>
    </xf>
    <xf numFmtId="0" fontId="255" fillId="0" borderId="0" xfId="0" applyFont="true" applyAlignment="true">
      <alignment horizontal="left" vertical="top"/>
    </xf>
    <xf numFmtId="0" fontId="256" fillId="0" borderId="0" xfId="0" applyFont="true" applyAlignment="true">
      <alignment horizontal="left" vertical="top"/>
    </xf>
    <xf numFmtId="0" fontId="257" fillId="0" borderId="0" xfId="0" applyFont="true" applyAlignment="true">
      <alignment horizontal="left" vertical="top"/>
    </xf>
    <xf numFmtId="0" fontId="258" fillId="0" borderId="0" xfId="0" applyFont="true" applyAlignment="true">
      <alignment horizontal="left" vertical="top"/>
    </xf>
    <xf numFmtId="0" fontId="259" fillId="0" borderId="0" xfId="0" applyFont="true" applyAlignment="true">
      <alignment horizontal="left" vertical="top"/>
    </xf>
    <xf numFmtId="0" fontId="260" fillId="0" borderId="0" xfId="0" applyFont="true" applyAlignment="true">
      <alignment horizontal="left" vertical="top"/>
    </xf>
    <xf numFmtId="0" fontId="261" fillId="0" borderId="0" xfId="0" applyFont="true" applyAlignment="true">
      <alignment horizontal="left" vertical="top"/>
    </xf>
    <xf numFmtId="0" fontId="262" fillId="0" borderId="0" xfId="0" applyFont="true" applyAlignment="true">
      <alignment horizontal="left" vertical="top"/>
    </xf>
    <xf numFmtId="0" fontId="263" fillId="0" borderId="0" xfId="0" applyFont="true" applyAlignment="true">
      <alignment horizontal="left" vertical="top"/>
    </xf>
    <xf numFmtId="0" fontId="264" fillId="0" borderId="0" xfId="0" applyFont="true" applyAlignment="true">
      <alignment horizontal="left" vertical="top"/>
    </xf>
    <xf numFmtId="0" fontId="265" fillId="0" borderId="0" xfId="0" applyFont="true" applyAlignment="true">
      <alignment horizontal="left" vertical="top"/>
    </xf>
    <xf numFmtId="0" fontId="266" fillId="0" borderId="0" xfId="0" applyFont="true" applyAlignment="true">
      <alignment horizontal="left" vertical="top"/>
    </xf>
    <xf numFmtId="0" fontId="267" fillId="0" borderId="0" xfId="0" applyFont="true" applyAlignment="true">
      <alignment horizontal="left" vertical="top"/>
    </xf>
    <xf numFmtId="11" fontId="268" fillId="0" borderId="0" xfId="0" applyNumberFormat="true" applyFont="true" applyAlignment="true">
      <alignment horizontal="left" vertical="top"/>
    </xf>
    <xf numFmtId="2" fontId="269" fillId="0" borderId="0" xfId="0" applyNumberFormat="true" applyFont="true" applyAlignment="true">
      <alignment horizontal="left" vertical="top"/>
    </xf>
    <xf numFmtId="167" fontId="270" fillId="0" borderId="0" xfId="0" applyNumberFormat="true" applyFont="true" applyAlignment="true">
      <alignment horizontal="left" vertical="top"/>
    </xf>
    <xf numFmtId="168" fontId="271" fillId="0" borderId="0" xfId="0" applyNumberFormat="true" applyFont="true" applyAlignment="true">
      <alignment horizontal="left" vertical="top"/>
    </xf>
    <xf numFmtId="169" fontId="272" fillId="0" borderId="0" xfId="0" applyNumberFormat="true" applyFont="true" applyAlignment="true">
      <alignment horizontal="left" vertical="top"/>
    </xf>
    <xf numFmtId="0" fontId="273" fillId="0" borderId="0" xfId="0" applyFont="true" applyAlignment="true">
      <alignment horizontal="left" vertical="top"/>
    </xf>
    <xf numFmtId="0" fontId="274" fillId="0" borderId="0" xfId="0" applyFont="true" applyAlignment="true">
      <alignment horizontal="left" vertical="top"/>
    </xf>
    <xf numFmtId="0" fontId="275" fillId="0" borderId="0" xfId="0" applyFont="true" applyAlignment="true">
      <alignment horizontal="left" vertical="top"/>
    </xf>
    <xf numFmtId="0" fontId="276" fillId="0" borderId="0" xfId="0" applyFont="true" applyAlignment="true">
      <alignment horizontal="left" vertical="top"/>
    </xf>
    <xf numFmtId="0" fontId="277" fillId="0" borderId="0" xfId="0" applyFont="true" applyAlignment="true">
      <alignment horizontal="left" vertical="top"/>
    </xf>
    <xf numFmtId="0" fontId="278" fillId="0" borderId="0" xfId="0" applyFont="true" applyAlignment="true">
      <alignment horizontal="left" vertical="top"/>
    </xf>
    <xf numFmtId="0" fontId="279" fillId="0" borderId="0" xfId="0" applyFont="true" applyAlignment="true">
      <alignment horizontal="left" vertical="top"/>
    </xf>
    <xf numFmtId="0" fontId="280" fillId="0" borderId="0" xfId="0" applyFont="true" applyAlignment="true">
      <alignment horizontal="left" vertical="top"/>
    </xf>
    <xf numFmtId="0" fontId="281" fillId="0" borderId="0" xfId="0" applyFont="true" applyAlignment="true">
      <alignment horizontal="left" vertical="top"/>
    </xf>
    <xf numFmtId="0" fontId="282" fillId="0" borderId="0" xfId="0" applyFont="true" applyAlignment="true">
      <alignment horizontal="left" vertical="top"/>
    </xf>
    <xf numFmtId="0" fontId="283" fillId="0" borderId="0" xfId="0" applyFont="true" applyAlignment="true">
      <alignment horizontal="left" vertical="top"/>
    </xf>
    <xf numFmtId="0" fontId="284" fillId="0" borderId="0" xfId="0" applyFont="true" applyAlignment="true">
      <alignment horizontal="left" vertical="top"/>
    </xf>
    <xf numFmtId="0" fontId="285" fillId="0" borderId="0" xfId="0" applyFont="true" applyAlignment="true">
      <alignment horizontal="left" vertical="top"/>
    </xf>
    <xf numFmtId="0" fontId="286" fillId="0" borderId="0" xfId="0" applyFont="true" applyAlignment="true">
      <alignment horizontal="left" vertical="top"/>
    </xf>
    <xf numFmtId="0" fontId="287" fillId="0" borderId="0" xfId="0" applyFont="true" applyAlignment="true">
      <alignment horizontal="left" vertical="top"/>
    </xf>
    <xf numFmtId="0" fontId="288" fillId="0" borderId="0" xfId="0" applyNumberFormat="true" applyFont="true" applyAlignment="true">
      <alignment horizontal="left" vertical="top"/>
    </xf>
    <xf numFmtId="0" fontId="289" fillId="0" borderId="0" xfId="0" applyFont="true" applyAlignment="true">
      <alignment horizontal="left" vertical="top"/>
    </xf>
    <xf numFmtId="0" fontId="290" fillId="0" borderId="0" xfId="0" applyNumberFormat="true" applyFont="true" applyAlignment="true">
      <alignment horizontal="left" vertical="top"/>
    </xf>
    <xf numFmtId="0" fontId="291" fillId="0" borderId="0" xfId="0" applyNumberFormat="true" applyFont="true" applyAlignment="true">
      <alignment horizontal="center" vertical="top"/>
    </xf>
    <xf numFmtId="0" fontId="292" fillId="0" borderId="0" xfId="0" applyNumberFormat="true" applyFont="true" applyAlignment="true">
      <alignment horizontal="right" vertical="top"/>
    </xf>
    <xf numFmtId="0" fontId="293" fillId="0" borderId="0" xfId="0" applyNumberFormat="true" applyFont="true" applyAlignment="true">
      <alignment horizontal="left" vertical="center"/>
    </xf>
    <xf numFmtId="0" fontId="294" fillId="0" borderId="0" xfId="0" applyNumberFormat="true" applyFont="true" applyAlignment="true">
      <alignment horizontal="center" vertical="center"/>
    </xf>
    <xf numFmtId="0" fontId="295" fillId="0" borderId="0" xfId="0" applyNumberFormat="true" applyFont="true" applyAlignment="true">
      <alignment horizontal="right" vertical="center"/>
    </xf>
    <xf numFmtId="0" fontId="296" fillId="0" borderId="0" xfId="0" applyNumberFormat="true" applyFont="true" applyAlignment="true">
      <alignment horizontal="left" vertical="bottom"/>
    </xf>
    <xf numFmtId="0" fontId="297" fillId="0" borderId="0" xfId="0" applyNumberFormat="true" applyFont="true" applyAlignment="true">
      <alignment horizontal="center" vertical="bottom"/>
    </xf>
    <xf numFmtId="0" fontId="298" fillId="0" borderId="0" xfId="0" applyNumberFormat="true" applyFont="true" applyAlignment="true">
      <alignment horizontal="right" vertical="bottom"/>
    </xf>
    <xf numFmtId="0" fontId="299" fillId="0" borderId="0" xfId="0" applyFont="true" applyAlignment="true">
      <alignment horizontal="left" vertical="top"/>
    </xf>
    <xf numFmtId="0" fontId="300" fillId="0" borderId="0" xfId="0" applyFont="true" applyAlignment="true">
      <alignment horizontal="left" vertical="top"/>
    </xf>
    <xf numFmtId="0" fontId="301" fillId="0" borderId="0" xfId="0" applyFont="true" applyAlignment="true">
      <alignment horizontal="left" vertical="top"/>
    </xf>
    <xf numFmtId="0" fontId="302" fillId="0" borderId="0" xfId="0" applyFont="true" applyAlignment="true">
      <alignment horizontal="left" vertical="top"/>
    </xf>
    <xf numFmtId="0" fontId="303" fillId="0" borderId="0" xfId="0" applyFont="true" applyAlignment="true">
      <alignment horizontal="left" vertical="top"/>
    </xf>
    <xf numFmtId="0" fontId="304" fillId="0" borderId="0" xfId="0" applyFont="true" applyAlignment="true">
      <alignment horizontal="left" vertical="top"/>
    </xf>
    <xf numFmtId="0" fontId="305" fillId="0" borderId="0" xfId="0" applyFont="true" applyAlignment="true">
      <alignment horizontal="left" vertical="top"/>
    </xf>
    <xf numFmtId="0" fontId="306" fillId="0" borderId="0" xfId="0" applyFont="true" applyAlignment="true">
      <alignment horizontal="left" vertical="top"/>
    </xf>
    <xf numFmtId="0" fontId="307" fillId="0" borderId="0" xfId="0" applyFont="true" applyAlignment="true">
      <alignment horizontal="left" vertical="top"/>
    </xf>
    <xf numFmtId="0" fontId="308" fillId="0" borderId="0" xfId="0" applyFont="true" applyAlignment="true">
      <alignment horizontal="left" vertical="top"/>
    </xf>
    <xf numFmtId="0" fontId="309" fillId="0" borderId="0" xfId="0" applyFont="true" applyAlignment="true">
      <alignment horizontal="left" vertical="top"/>
    </xf>
    <xf numFmtId="0" fontId="310" fillId="0" borderId="0" xfId="0" applyFont="true" applyAlignment="true">
      <alignment horizontal="left" vertical="top"/>
    </xf>
    <xf numFmtId="0" fontId="311" fillId="0" borderId="0" xfId="0" applyFont="true" applyAlignment="true">
      <alignment horizontal="left" vertical="top"/>
    </xf>
    <xf numFmtId="0" fontId="312" fillId="0" borderId="0" xfId="0" applyFont="true" applyAlignment="true">
      <alignment horizontal="left" vertical="top"/>
    </xf>
    <xf numFmtId="0" fontId="313" fillId="0" borderId="0" xfId="0" applyFont="true" applyAlignment="true">
      <alignment horizontal="left" vertical="top"/>
    </xf>
    <xf numFmtId="0" fontId="314" fillId="0" borderId="0" xfId="0" applyFont="true" applyAlignment="true">
      <alignment horizontal="left" vertical="top"/>
    </xf>
    <xf numFmtId="0" fontId="315" fillId="0" borderId="0" xfId="0" applyFont="true" applyAlignment="true">
      <alignment horizontal="left" vertical="top"/>
    </xf>
    <xf numFmtId="0" fontId="316" fillId="0" borderId="0" xfId="0" applyFont="true" applyAlignment="true">
      <alignment horizontal="left" vertical="top"/>
    </xf>
    <xf numFmtId="0" fontId="317" fillId="0" borderId="0" xfId="0" applyFont="true" applyAlignment="true">
      <alignment horizontal="left" vertical="top"/>
    </xf>
    <xf numFmtId="0" fontId="318" fillId="0" borderId="0" xfId="0" applyFont="true" applyAlignment="true">
      <alignment horizontal="left" vertical="top"/>
    </xf>
    <xf numFmtId="0" fontId="319" fillId="0" borderId="0" xfId="0" applyFont="true" applyAlignment="true">
      <alignment horizontal="left" vertical="top"/>
    </xf>
    <xf numFmtId="0" fontId="320" fillId="0" borderId="0" xfId="0" applyFont="true" applyAlignment="true">
      <alignment horizontal="left" vertical="top"/>
    </xf>
    <xf numFmtId="0" fontId="321" fillId="0" borderId="0" xfId="0" applyNumberFormat="true" applyFont="true" applyAlignment="true">
      <alignment horizontal="left" vertical="top"/>
    </xf>
    <xf numFmtId="0" fontId="322" fillId="0" borderId="0" xfId="0" applyFont="true" applyAlignment="true">
      <alignment horizontal="left" vertical="top"/>
    </xf>
    <xf numFmtId="0" fontId="323" fillId="0" borderId="0" xfId="0" applyNumberFormat="true" applyFont="true" applyAlignment="true">
      <alignment horizontal="left" vertical="top" wrapText="true"/>
    </xf>
    <xf numFmtId="0" fontId="324" fillId="0" borderId="0" xfId="0" applyNumberFormat="true" applyFont="true" applyAlignment="true">
      <alignment horizontal="left" vertical="top"/>
    </xf>
    <xf numFmtId="0" fontId="325" fillId="0" borderId="0" xfId="0" applyFont="true" applyAlignment="true">
      <alignment horizontal="left" vertical="top"/>
    </xf>
    <xf numFmtId="0" fontId="326" fillId="0" borderId="0" xfId="0" applyFont="true" applyAlignment="true">
      <alignment horizontal="left" vertical="top"/>
    </xf>
    <xf numFmtId="0" fontId="327" fillId="0" borderId="0" xfId="0" applyFont="true" applyAlignment="true">
      <alignment horizontal="left" vertical="top"/>
    </xf>
    <xf numFmtId="0" fontId="328" fillId="0" borderId="0" xfId="0" applyFont="true" applyAlignment="true">
      <alignment horizontal="left" vertical="top"/>
    </xf>
    <xf numFmtId="0" fontId="329" fillId="0" borderId="0" xfId="0" applyFont="true" applyAlignment="true">
      <alignment horizontal="left" vertical="top"/>
    </xf>
    <xf numFmtId="0" fontId="330" fillId="0" borderId="0" xfId="0" applyFont="true" applyAlignment="true">
      <alignment horizontal="left" vertical="top"/>
    </xf>
    <xf numFmtId="0" fontId="331" fillId="0" borderId="0" xfId="0" applyFont="true" applyAlignment="true">
      <alignment horizontal="left" vertical="top"/>
    </xf>
    <xf numFmtId="0" fontId="0" fillId="0" borderId="0" xfId="0" applyNumberFormat="true" applyAlignment="true">
      <alignment horizontal="left" vertical="center"/>
    </xf>
    <xf numFmtId="0" fontId="333" fillId="0" borderId="0" xfId="0" applyNumberFormat="true" applyFont="true" applyAlignment="true">
      <alignment horizontal="left" textRotation="45" wrapText="true"/>
    </xf>
    <xf numFmtId="0" fontId="334" fillId="0" borderId="0" xfId="0" applyNumberFormat="true" applyFont="true" applyAlignment="true">
      <alignment horizontal="center" textRotation="135" wrapText="true"/>
    </xf>
    <xf numFmtId="0" fontId="335" fillId="0" borderId="0" xfId="0" applyNumberFormat="true" applyFont="true" applyAlignment="true">
      <alignment horizontal="left" vertical="bottom" textRotation="90" wrapText="true"/>
    </xf>
    <xf numFmtId="0" fontId="336" fillId="0" borderId="0" xfId="0" applyNumberFormat="true" applyFont="true" applyAlignment="true">
      <alignment horizontal="left" textRotation="180" wrapText="true"/>
    </xf>
    <xf numFmtId="0" fontId="337" fillId="0" borderId="0" xfId="0" applyNumberFormat="true" applyFont="true" applyAlignment="true">
      <alignment horizontal="left" vertical="center" textRotation="45"/>
    </xf>
    <xf numFmtId="0" fontId="338" fillId="0" borderId="0" xfId="0" applyNumberFormat="true" applyFont="true"/>
    <xf numFmtId="0" fontId="339" fillId="0" borderId="0" xfId="0" applyNumberFormat="true" applyFont="true"/>
    <xf numFmtId="0" fontId="340" fillId="0" borderId="0" xfId="0" applyNumberFormat="true" applyFont="true" applyAlignment="true">
      <alignment horizontal="left" vertical="top"/>
    </xf>
    <xf numFmtId="0" fontId="341" fillId="0" borderId="0" xfId="0" applyFont="true" applyAlignment="true">
      <alignment horizontal="left" vertical="center"/>
    </xf>
    <xf numFmtId="0" fontId="342" fillId="0" borderId="0" xfId="0" applyFont="true" applyAlignment="true">
      <alignment horizontal="left" vertical="center"/>
    </xf>
    <xf numFmtId="0" fontId="343" fillId="0" borderId="0" xfId="0" applyFont="true" applyAlignment="true">
      <alignment horizontal="left" vertical="center"/>
    </xf>
    <xf numFmtId="0" fontId="344" fillId="0" borderId="0" xfId="0" applyFont="true" applyAlignment="true">
      <alignment horizontal="left" vertical="center"/>
    </xf>
    <xf numFmtId="0" fontId="345" fillId="0" borderId="0" xfId="0" applyFont="true" applyAlignment="true">
      <alignment horizontal="left" vertical="center"/>
    </xf>
    <xf numFmtId="0" fontId="346" fillId="0" borderId="0" xfId="0" applyFont="true" applyAlignment="true">
      <alignment horizontal="left" vertical="center"/>
    </xf>
    <xf numFmtId="0" fontId="347" fillId="0" borderId="0" xfId="0" applyFont="true" applyAlignment="true">
      <alignment horizontal="left" vertical="center"/>
    </xf>
    <xf numFmtId="0" fontId="348" fillId="0" borderId="0" xfId="0" applyFont="true" applyAlignment="true">
      <alignment horizontal="left" vertical="center"/>
    </xf>
    <xf numFmtId="0" fontId="349" fillId="0" borderId="0" xfId="0" applyFont="true" applyAlignment="true">
      <alignment horizontal="left" vertical="center"/>
    </xf>
    <xf numFmtId="0" fontId="350" fillId="0" borderId="0" xfId="0" applyFont="true" applyAlignment="true">
      <alignment horizontal="left" vertical="center"/>
    </xf>
    <xf numFmtId="0" fontId="351" fillId="0" borderId="0" xfId="0" applyFont="true" applyAlignment="true">
      <alignment horizontal="left" vertical="center"/>
    </xf>
    <xf numFmtId="0" fontId="352" fillId="0" borderId="0" xfId="0" applyNumberFormat="true" applyFont="true" applyAlignment="true">
      <alignment horizontal="left" vertical="center"/>
    </xf>
    <xf numFmtId="0" fontId="353" fillId="0" borderId="0" xfId="0" applyFont="true" applyAlignment="true">
      <alignment horizontal="left" vertical="center"/>
    </xf>
    <xf numFmtId="0" fontId="354" fillId="0" borderId="0" xfId="0" applyNumberFormat="true" applyFont="true" applyAlignment="true">
      <alignment horizontal="left" vertical="center"/>
    </xf>
    <xf numFmtId="0" fontId="355" fillId="0" borderId="0" xfId="0" applyNumberFormat="true" applyFont="true" applyAlignment="true">
      <alignment horizontal="left" vertical="center"/>
    </xf>
    <xf numFmtId="0" fontId="356" fillId="0" borderId="0" xfId="0" applyFont="true" applyAlignment="true">
      <alignment horizontal="left" vertical="center"/>
    </xf>
    <xf numFmtId="0" fontId="357" fillId="0" borderId="0" xfId="0" applyFont="true" applyAlignment="true">
      <alignment horizontal="left" vertical="center"/>
    </xf>
    <xf numFmtId="0" fontId="358" fillId="0" borderId="0" xfId="0" applyNumberFormat="true" applyFont="true" applyAlignment="true">
      <alignment horizontal="left" vertical="center"/>
    </xf>
    <xf numFmtId="0" fontId="359" fillId="0" borderId="0" xfId="0" applyFont="true" applyAlignment="true">
      <alignment horizontal="left" vertical="center"/>
    </xf>
    <xf numFmtId="0" fontId="360" fillId="0" borderId="0" xfId="0" applyNumberFormat="true" applyFont="true" applyAlignment="true">
      <alignment horizontal="left" vertical="center"/>
    </xf>
    <xf numFmtId="0" fontId="361" fillId="0" borderId="0" xfId="0" applyNumberFormat="true" applyFont="true" applyAlignment="true">
      <alignment horizontal="left" vertical="center"/>
    </xf>
    <xf numFmtId="0" fontId="362" fillId="0" borderId="0" xfId="0" applyFont="true" applyAlignment="true">
      <alignment horizontal="left" vertical="center"/>
    </xf>
    <xf numFmtId="0" fontId="363" fillId="0" borderId="0" xfId="0" applyFont="true" applyAlignment="true">
      <alignment horizontal="left" vertical="center"/>
    </xf>
    <xf numFmtId="0" fontId="364" fillId="0" borderId="0" xfId="0" applyFont="true" applyAlignment="true">
      <alignment horizontal="left" vertical="center"/>
    </xf>
    <xf numFmtId="0" fontId="365" fillId="0" borderId="0" xfId="0" applyNumberFormat="true" applyFont="true" applyAlignment="true">
      <alignment horizontal="left" vertical="center"/>
    </xf>
    <xf numFmtId="0" fontId="366" fillId="0" borderId="0" xfId="0" applyNumberFormat="true" applyFont="true" applyAlignment="true">
      <alignment horizontal="left" vertical="center"/>
    </xf>
    <xf numFmtId="0" fontId="367" fillId="0" borderId="0" xfId="0" applyFont="true" applyAlignment="true">
      <alignment horizontal="left" vertical="center"/>
    </xf>
    <xf numFmtId="0" fontId="368" fillId="0" borderId="0" xfId="0" applyFont="true" applyAlignment="true">
      <alignment horizontal="left" vertical="center"/>
    </xf>
    <xf numFmtId="0" fontId="369" fillId="0" borderId="0" xfId="0" applyFont="true" applyAlignment="true">
      <alignment horizontal="left" vertical="center"/>
    </xf>
    <xf numFmtId="0" fontId="370" fillId="0" borderId="0" xfId="0" applyFont="true" applyAlignment="true">
      <alignment horizontal="left" vertical="center"/>
    </xf>
    <xf numFmtId="0" fontId="371" fillId="0" borderId="0" xfId="0" applyNumberFormat="true" applyFont="true" applyAlignment="true">
      <alignment horizontal="left" vertical="center"/>
    </xf>
    <xf numFmtId="0" fontId="372" fillId="0" borderId="0" xfId="0" applyNumberFormat="true" applyFont="true" applyAlignment="true">
      <alignment horizontal="left" vertical="center"/>
    </xf>
    <xf numFmtId="0" fontId="373" fillId="0" borderId="0" xfId="0" applyFont="true" applyAlignment="true">
      <alignment horizontal="left" vertical="center"/>
    </xf>
    <xf numFmtId="0" fontId="374" fillId="0" borderId="0" xfId="0" applyFont="true" applyAlignment="true">
      <alignment horizontal="left" vertical="center"/>
    </xf>
    <xf numFmtId="0" fontId="375" fillId="0" borderId="0" xfId="0" applyFont="true" applyAlignment="true">
      <alignment horizontal="left" vertical="center"/>
    </xf>
    <xf numFmtId="0" fontId="376" fillId="0" borderId="0" xfId="0" applyNumberFormat="true" applyFont="true" applyAlignment="true">
      <alignment horizontal="left" vertical="center"/>
    </xf>
    <xf numFmtId="0" fontId="377" fillId="0" borderId="0" xfId="0" applyNumberFormat="true" applyFont="true" applyAlignment="true">
      <alignment horizontal="left" vertical="center"/>
    </xf>
    <xf numFmtId="0" fontId="378" fillId="0" borderId="0" xfId="0" applyFont="true" applyAlignment="true">
      <alignment horizontal="left" vertical="center"/>
    </xf>
    <xf numFmtId="0" fontId="379" fillId="0" borderId="0" xfId="0" applyFont="true" applyAlignment="true">
      <alignment horizontal="left" vertical="center"/>
    </xf>
    <xf numFmtId="0" fontId="380" fillId="0" borderId="0" xfId="0" applyFont="true" applyAlignment="true">
      <alignment horizontal="left" vertical="center"/>
    </xf>
    <xf numFmtId="0" fontId="381" fillId="0" borderId="0" xfId="0" applyFont="true" applyAlignment="true">
      <alignment horizontal="left" vertical="center"/>
    </xf>
    <xf numFmtId="0" fontId="382" fillId="0" borderId="0" xfId="0" applyNumberFormat="true" applyFont="true" applyAlignment="true">
      <alignment horizontal="left" vertical="center"/>
    </xf>
    <xf numFmtId="0" fontId="383" fillId="0" borderId="0" xfId="0" applyNumberFormat="true" applyFont="true" applyAlignment="true">
      <alignment horizontal="left" vertical="center"/>
    </xf>
    <xf numFmtId="0" fontId="384" fillId="0" borderId="0" xfId="0" applyFont="true" applyAlignment="true">
      <alignment horizontal="left" vertical="center"/>
    </xf>
    <xf numFmtId="0" fontId="385" fillId="0" borderId="0" xfId="0" applyFont="true" applyAlignment="true">
      <alignment horizontal="left" vertical="center"/>
    </xf>
    <xf numFmtId="0" fontId="386" fillId="0" borderId="0" xfId="0" applyFont="true" applyAlignment="true">
      <alignment horizontal="left" vertical="center"/>
    </xf>
    <xf numFmtId="0" fontId="387" fillId="0" borderId="0" xfId="0" applyNumberFormat="true" applyFont="true" applyAlignment="true">
      <alignment horizontal="left" vertical="center"/>
    </xf>
    <xf numFmtId="0" fontId="388" fillId="0" borderId="0" xfId="0" applyNumberFormat="true" applyFont="true" applyAlignment="true">
      <alignment horizontal="left" vertical="center"/>
    </xf>
    <xf numFmtId="0" fontId="389" fillId="0" borderId="0" xfId="0" applyFont="true" applyAlignment="true">
      <alignment horizontal="left" vertical="center"/>
    </xf>
    <xf numFmtId="0" fontId="390" fillId="0" borderId="0" xfId="0" applyFont="true" applyAlignment="true">
      <alignment horizontal="left" vertical="center"/>
    </xf>
    <xf numFmtId="0" fontId="391" fillId="0" borderId="0" xfId="0" applyFont="true" applyAlignment="true">
      <alignment horizontal="left" vertical="center"/>
    </xf>
    <xf numFmtId="0" fontId="392" fillId="0" borderId="0" xfId="0" applyFont="true" applyAlignment="true">
      <alignment horizontal="left" vertical="center"/>
    </xf>
    <xf numFmtId="0" fontId="393" fillId="0" borderId="0" xfId="0" applyFont="true" applyAlignment="true">
      <alignment horizontal="left" vertical="center"/>
    </xf>
    <xf numFmtId="0" fontId="394" fillId="0" borderId="0" xfId="0" applyFont="true" applyAlignment="true">
      <alignment horizontal="left" vertical="center"/>
    </xf>
    <xf numFmtId="0" fontId="395" fillId="0" borderId="0" xfId="0" applyFont="true" applyAlignment="true">
      <alignment horizontal="left" vertical="center"/>
    </xf>
    <xf numFmtId="0" fontId="396" fillId="0" borderId="0" xfId="0" applyFont="true" applyAlignment="true">
      <alignment horizontal="left" vertical="center"/>
    </xf>
    <xf numFmtId="0" fontId="397" fillId="0" borderId="0" xfId="0" applyFont="true" applyAlignment="true">
      <alignment horizontal="left" vertical="center"/>
    </xf>
    <xf numFmtId="0" fontId="398" fillId="0" borderId="0" xfId="0" applyNumberFormat="true" applyFont="true" applyAlignment="true">
      <alignment horizontal="left" vertical="center"/>
    </xf>
    <xf numFmtId="0" fontId="399" fillId="0" borderId="0" xfId="0" applyNumberFormat="true" applyFont="true" applyAlignment="true">
      <alignment horizontal="left" vertical="center"/>
    </xf>
    <xf numFmtId="0" fontId="400" fillId="0" borderId="0" xfId="0" applyFont="true" applyAlignment="true">
      <alignment horizontal="left" vertical="center"/>
    </xf>
    <xf numFmtId="0" fontId="401" fillId="0" borderId="0" xfId="0" applyFont="true" applyAlignment="true">
      <alignment horizontal="left" vertical="center"/>
    </xf>
    <xf numFmtId="0" fontId="402" fillId="0" borderId="0" xfId="0" applyFont="true" applyAlignment="true">
      <alignment horizontal="left" vertical="center"/>
    </xf>
    <xf numFmtId="0" fontId="403" fillId="0" borderId="0" xfId="0" applyFont="true" applyAlignment="true">
      <alignment horizontal="left" vertical="center"/>
    </xf>
    <xf numFmtId="0" fontId="404" fillId="0" borderId="0" xfId="0" applyNumberFormat="true" applyFont="true" applyAlignment="true">
      <alignment horizontal="left" vertical="center"/>
    </xf>
    <xf numFmtId="0" fontId="405" fillId="0" borderId="0" xfId="0" applyNumberFormat="true" applyFont="true" applyAlignment="true">
      <alignment horizontal="left" vertical="center"/>
    </xf>
    <xf numFmtId="0" fontId="406" fillId="0" borderId="0" xfId="0" applyFont="true" applyAlignment="true">
      <alignment horizontal="left" vertical="center"/>
    </xf>
    <xf numFmtId="0" fontId="407" fillId="0" borderId="0" xfId="0" applyFont="true" applyAlignment="true">
      <alignment horizontal="left" vertical="center"/>
    </xf>
    <xf numFmtId="0" fontId="408" fillId="0" borderId="0" xfId="0" applyFont="true" applyAlignment="true">
      <alignment horizontal="left" vertical="center"/>
    </xf>
    <xf numFmtId="0" fontId="409" fillId="0" borderId="0" xfId="0" applyNumberFormat="true" applyFont="true" applyAlignment="true">
      <alignment horizontal="left" vertical="center"/>
    </xf>
    <xf numFmtId="0" fontId="410" fillId="0" borderId="0" xfId="0" applyNumberFormat="true" applyFont="true" applyAlignment="true">
      <alignment horizontal="left" vertical="center"/>
    </xf>
    <xf numFmtId="0" fontId="411" fillId="0" borderId="0" xfId="0" applyFont="true" applyAlignment="true">
      <alignment horizontal="left" vertical="center"/>
    </xf>
    <xf numFmtId="0" fontId="412" fillId="0" borderId="0" xfId="0" applyFont="true" applyAlignment="true">
      <alignment horizontal="left" vertical="center"/>
    </xf>
    <xf numFmtId="0" fontId="413" fillId="0" borderId="0" xfId="0" applyFont="true" applyAlignment="true">
      <alignment horizontal="left" vertical="center"/>
    </xf>
    <xf numFmtId="0" fontId="414" fillId="0" borderId="0" xfId="0" applyFont="true" applyAlignment="true">
      <alignment horizontal="left" vertical="center"/>
    </xf>
    <xf numFmtId="0" fontId="415" fillId="0" borderId="0" xfId="0" applyNumberFormat="true" applyFont="true" applyAlignment="true">
      <alignment horizontal="left" vertical="center"/>
    </xf>
    <xf numFmtId="0" fontId="416" fillId="0" borderId="0" xfId="0" applyNumberFormat="true" applyFont="true" applyAlignment="true">
      <alignment horizontal="left" vertical="center"/>
    </xf>
    <xf numFmtId="0" fontId="417" fillId="0" borderId="0" xfId="0" applyFont="true" applyAlignment="true">
      <alignment horizontal="left" vertical="center"/>
    </xf>
    <xf numFmtId="0" fontId="418" fillId="0" borderId="0" xfId="0" applyFont="true" applyAlignment="true">
      <alignment horizontal="left" vertical="center"/>
    </xf>
    <xf numFmtId="0" fontId="419" fillId="0" borderId="0" xfId="0" applyFont="true" applyAlignment="true">
      <alignment horizontal="left" vertical="center"/>
    </xf>
    <xf numFmtId="0" fontId="420" fillId="0" borderId="0" xfId="0" applyNumberFormat="true" applyFont="true" applyAlignment="true">
      <alignment horizontal="left" vertical="center"/>
    </xf>
    <xf numFmtId="0" fontId="421" fillId="0" borderId="0" xfId="0" applyNumberFormat="true" applyFont="true" applyAlignment="true">
      <alignment horizontal="left" vertical="center"/>
    </xf>
    <xf numFmtId="0" fontId="422" fillId="0" borderId="0" xfId="0" applyFont="true" applyAlignment="true">
      <alignment horizontal="left" vertical="center"/>
    </xf>
    <xf numFmtId="0" fontId="423" fillId="0" borderId="0" xfId="0" applyFont="true" applyAlignment="true">
      <alignment horizontal="left" vertical="center"/>
    </xf>
    <xf numFmtId="0" fontId="424" fillId="0" borderId="0" xfId="0" applyFont="true" applyAlignment="true">
      <alignment horizontal="left" vertical="center"/>
    </xf>
    <xf numFmtId="0" fontId="425" fillId="0" borderId="0" xfId="0" applyFont="true" applyAlignment="true">
      <alignment horizontal="left" vertical="center"/>
    </xf>
    <xf numFmtId="0" fontId="426" fillId="0" borderId="0" xfId="0" applyNumberFormat="true" applyFont="true" applyAlignment="true">
      <alignment horizontal="left" vertical="center"/>
    </xf>
    <xf numFmtId="0" fontId="427" fillId="0" borderId="0" xfId="0" applyNumberFormat="true" applyFont="true" applyAlignment="true">
      <alignment horizontal="left" vertical="center"/>
    </xf>
    <xf numFmtId="0" fontId="428" fillId="0" borderId="0" xfId="0" applyFont="true" applyAlignment="true">
      <alignment horizontal="left" vertical="center"/>
    </xf>
    <xf numFmtId="0" fontId="429" fillId="0" borderId="0" xfId="0" applyFont="true" applyAlignment="true">
      <alignment horizontal="left" vertical="center"/>
    </xf>
    <xf numFmtId="0" fontId="430" fillId="0" borderId="0" xfId="0" applyFont="true" applyAlignment="true">
      <alignment horizontal="left" vertical="center"/>
    </xf>
    <xf numFmtId="0" fontId="431" fillId="0" borderId="0" xfId="0" applyNumberFormat="true" applyFont="true" applyAlignment="true">
      <alignment horizontal="left" vertical="center"/>
    </xf>
    <xf numFmtId="0" fontId="432" fillId="0" borderId="0" xfId="0" applyNumberFormat="true" applyFont="true" applyAlignment="true">
      <alignment horizontal="left" vertical="center"/>
    </xf>
    <xf numFmtId="0" fontId="433" fillId="0" borderId="0" xfId="0" applyFont="true" applyAlignment="true">
      <alignment horizontal="left" vertical="center"/>
    </xf>
    <xf numFmtId="0" fontId="434" fillId="0" borderId="0" xfId="0" applyFont="true" applyAlignment="true">
      <alignment horizontal="left" vertical="center"/>
    </xf>
    <xf numFmtId="0" fontId="435" fillId="0" borderId="0" xfId="0" applyFont="true" applyAlignment="true">
      <alignment horizontal="left" vertical="center"/>
    </xf>
    <xf numFmtId="0" fontId="436" fillId="0" borderId="0" xfId="0" applyFont="true" applyAlignment="true">
      <alignment horizontal="left" vertical="center"/>
    </xf>
    <xf numFmtId="0" fontId="437" fillId="0" borderId="0" xfId="0" applyNumberFormat="true" applyFont="true" applyAlignment="true">
      <alignment horizontal="left" vertical="center"/>
    </xf>
    <xf numFmtId="0" fontId="438" fillId="0" borderId="0" xfId="0" applyNumberFormat="true" applyFont="true" applyAlignment="true">
      <alignment horizontal="left" vertical="center"/>
    </xf>
    <xf numFmtId="0" fontId="439" fillId="0" borderId="0" xfId="0" applyFont="true" applyAlignment="true">
      <alignment horizontal="left" vertical="center"/>
    </xf>
    <xf numFmtId="0" fontId="440" fillId="0" borderId="0" xfId="0" applyFont="true" applyAlignment="true">
      <alignment horizontal="left" vertical="center"/>
    </xf>
    <xf numFmtId="0" fontId="441" fillId="0" borderId="0" xfId="0" applyFont="true" applyAlignment="true">
      <alignment horizontal="left" vertical="center"/>
    </xf>
    <xf numFmtId="0" fontId="442" fillId="0" borderId="0" xfId="0" applyFont="true" applyAlignment="true">
      <alignment horizontal="left" vertical="center"/>
    </xf>
    <xf numFmtId="0" fontId="443" fillId="0" borderId="0" xfId="0" applyFont="true" applyAlignment="true">
      <alignment horizontal="left" vertical="center"/>
    </xf>
    <xf numFmtId="0" fontId="444" fillId="0" borderId="0" xfId="0" applyFont="true" applyAlignment="true">
      <alignment horizontal="left" vertical="center"/>
    </xf>
    <xf numFmtId="0" fontId="445" fillId="0" borderId="0" xfId="0" applyFont="true" applyAlignment="true">
      <alignment horizontal="left" vertical="center"/>
    </xf>
    <xf numFmtId="0" fontId="446" fillId="0" borderId="0" xfId="0" applyFont="true" applyAlignment="true">
      <alignment horizontal="left" vertical="center"/>
    </xf>
    <xf numFmtId="0" fontId="447" fillId="0" borderId="0" xfId="0" applyFont="true" applyAlignment="true">
      <alignment horizontal="left" vertical="center"/>
    </xf>
    <xf numFmtId="0" fontId="448" fillId="0" borderId="0" xfId="0" applyNumberFormat="true" applyFont="true" applyAlignment="true">
      <alignment horizontal="left" vertical="center"/>
    </xf>
    <xf numFmtId="0" fontId="449" fillId="0" borderId="0" xfId="0" applyNumberFormat="true" applyFont="true" applyAlignment="true">
      <alignment horizontal="left" vertical="center"/>
    </xf>
    <xf numFmtId="0" fontId="450" fillId="0" borderId="0" xfId="0" applyFont="true" applyAlignment="true">
      <alignment horizontal="left" vertical="center"/>
    </xf>
    <xf numFmtId="0" fontId="451" fillId="0" borderId="0" xfId="0" applyFont="true" applyAlignment="true">
      <alignment horizontal="left" vertical="center"/>
    </xf>
    <xf numFmtId="0" fontId="452" fillId="0" borderId="0" xfId="0" applyFont="true" applyAlignment="true">
      <alignment horizontal="left" vertical="center"/>
    </xf>
    <xf numFmtId="0" fontId="453" fillId="0" borderId="0" xfId="0" applyFont="true" applyAlignment="true">
      <alignment horizontal="left" vertical="center"/>
    </xf>
    <xf numFmtId="0" fontId="454" fillId="0" borderId="0" xfId="0" applyFont="true" applyAlignment="true">
      <alignment horizontal="left" vertical="center"/>
    </xf>
    <xf numFmtId="0" fontId="455" fillId="0" borderId="0" xfId="0" applyFont="true" applyAlignment="true">
      <alignment horizontal="left" vertical="center"/>
    </xf>
    <xf numFmtId="0" fontId="456" fillId="0" borderId="0" xfId="0" applyFont="true" applyAlignment="true">
      <alignment horizontal="left" vertical="center"/>
    </xf>
    <xf numFmtId="0" fontId="457" fillId="0" borderId="0" xfId="0" applyFont="true" applyAlignment="true">
      <alignment horizontal="left" vertical="center"/>
    </xf>
    <xf numFmtId="0" fontId="458" fillId="0" borderId="0" xfId="0" applyFont="true" applyAlignment="true">
      <alignment horizontal="left" vertical="center"/>
    </xf>
    <xf numFmtId="0" fontId="459" fillId="0" borderId="0" xfId="0" applyNumberFormat="true" applyFont="true" applyAlignment="true">
      <alignment horizontal="left" vertical="center"/>
    </xf>
    <xf numFmtId="0" fontId="460" fillId="0" borderId="0" xfId="0" applyNumberFormat="true" applyFont="true" applyAlignment="true">
      <alignment horizontal="left" vertical="center"/>
    </xf>
    <xf numFmtId="0" fontId="461" fillId="0" borderId="0" xfId="0" applyFont="true" applyAlignment="true">
      <alignment horizontal="left" vertical="center"/>
    </xf>
    <xf numFmtId="0" fontId="462" fillId="0" borderId="0" xfId="0" applyFont="true" applyAlignment="true">
      <alignment horizontal="left" vertical="center"/>
    </xf>
    <xf numFmtId="0" fontId="463" fillId="0" borderId="0" xfId="0" applyFont="true" applyAlignment="true">
      <alignment horizontal="left" vertical="center"/>
    </xf>
    <xf numFmtId="0" fontId="464" fillId="0" borderId="0" xfId="0" applyFont="true" applyAlignment="true">
      <alignment horizontal="left" vertical="center"/>
    </xf>
    <xf numFmtId="0" fontId="465" fillId="0" borderId="0" xfId="0" applyFont="true" applyAlignment="true">
      <alignment horizontal="left" vertical="center"/>
    </xf>
    <xf numFmtId="0" fontId="466" fillId="0" borderId="0" xfId="0" applyFont="true" applyAlignment="true">
      <alignment horizontal="left" vertical="center"/>
    </xf>
    <xf numFmtId="0" fontId="467" fillId="0" borderId="0" xfId="0" applyFont="true" applyAlignment="true">
      <alignment horizontal="left" vertical="center"/>
    </xf>
    <xf numFmtId="0" fontId="468" fillId="0" borderId="0" xfId="0" applyFont="true" applyAlignment="true">
      <alignment horizontal="left" vertical="center"/>
    </xf>
    <xf numFmtId="0" fontId="469" fillId="0" borderId="0" xfId="0" applyFont="true" applyAlignment="true">
      <alignment horizontal="left" vertical="center"/>
    </xf>
    <xf numFmtId="0" fontId="470" fillId="0" borderId="0" xfId="0" applyFont="true" applyAlignment="true">
      <alignment horizontal="left" vertical="center"/>
    </xf>
    <xf numFmtId="0" fontId="471" fillId="0" borderId="0" xfId="0" applyFont="true" applyAlignment="true">
      <alignment horizontal="left" vertical="center"/>
    </xf>
    <xf numFmtId="0" fontId="472" fillId="0" borderId="0" xfId="0" applyFont="true" applyAlignment="true">
      <alignment horizontal="left" vertical="center"/>
    </xf>
    <xf numFmtId="0" fontId="473" fillId="0" borderId="0" xfId="0" applyNumberFormat="true" applyFont="true" applyAlignment="true">
      <alignment horizontal="left" vertical="center"/>
    </xf>
    <xf numFmtId="0" fontId="474" fillId="0" borderId="0" xfId="0" applyFont="true" applyAlignment="true">
      <alignment horizontal="left" vertical="center"/>
    </xf>
    <xf numFmtId="0" fontId="475" fillId="0" borderId="0" xfId="0" applyNumberFormat="true" applyFont="true" applyAlignment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 applyAlignment="true">
      <alignment horizontal="left" vertical="center"/>
    </xf>
    <xf numFmtId="0" fontId="482" fillId="0" borderId="0" xfId="0" applyFont="true" applyAlignment="true">
      <alignment horizontal="left" vertical="center"/>
    </xf>
    <xf numFmtId="0" fontId="483" fillId="0" borderId="0" xfId="0" applyFont="true" applyAlignment="true">
      <alignment horizontal="left" vertical="center"/>
    </xf>
    <xf numFmtId="0" fontId="484" fillId="0" borderId="0" xfId="0" applyFont="true" applyAlignment="true">
      <alignment horizontal="left" vertical="center"/>
    </xf>
    <xf numFmtId="0" fontId="485" fillId="0" borderId="0" xfId="0" applyFont="true" applyAlignment="true">
      <alignment horizontal="left" vertical="center"/>
    </xf>
    <xf numFmtId="0" fontId="486" fillId="0" borderId="0" xfId="0" applyFont="true" applyAlignment="true">
      <alignment horizontal="left" vertical="center"/>
    </xf>
    <xf numFmtId="0" fontId="487" fillId="0" borderId="0" xfId="0" applyNumberFormat="true" applyFont="true" applyAlignment="true">
      <alignment horizontal="left" vertical="center"/>
    </xf>
    <xf numFmtId="0" fontId="488" fillId="0" borderId="0" xfId="0" applyNumberFormat="true" applyFont="true" applyAlignment="true">
      <alignment horizontal="left" vertical="center"/>
    </xf>
    <xf numFmtId="0" fontId="489" fillId="0" borderId="0" xfId="0" applyNumberFormat="true" applyFont="true" applyAlignment="true">
      <alignment horizontal="left" vertical="center"/>
    </xf>
    <xf numFmtId="0" fontId="490" fillId="0" borderId="0" xfId="0" applyNumberFormat="true" applyFont="true" applyAlignment="true">
      <alignment horizontal="left" vertical="center"/>
    </xf>
    <xf numFmtId="0" fontId="491" fillId="0" borderId="0" xfId="0" applyNumberFormat="true" applyFont="true" applyAlignment="true">
      <alignment horizontal="left" vertical="center"/>
    </xf>
    <xf numFmtId="0" fontId="492" fillId="0" borderId="0" xfId="0" applyFont="true" applyAlignment="true">
      <alignment horizontal="left" vertical="center"/>
    </xf>
    <xf numFmtId="0" fontId="493" fillId="0" borderId="0" xfId="0" applyFont="true" applyAlignment="true">
      <alignment horizontal="left" vertical="center"/>
    </xf>
    <xf numFmtId="0" fontId="494" fillId="0" borderId="0" xfId="0" applyFont="true" applyAlignment="true">
      <alignment horizontal="left" vertical="center"/>
    </xf>
    <xf numFmtId="0" fontId="495" fillId="0" borderId="0" xfId="0" applyFont="true" applyAlignment="true">
      <alignment horizontal="left" vertical="center"/>
    </xf>
    <xf numFmtId="0" fontId="496" fillId="0" borderId="0" xfId="0" applyFont="true" applyAlignment="true">
      <alignment horizontal="left" vertical="center"/>
    </xf>
    <xf numFmtId="0" fontId="497" fillId="0" borderId="0" xfId="0" applyNumberFormat="true" applyFont="true" applyAlignment="true">
      <alignment horizontal="left" vertical="center"/>
    </xf>
    <xf numFmtId="0" fontId="498" fillId="0" borderId="0" xfId="0" applyNumberFormat="true" applyFont="true" applyAlignment="true">
      <alignment horizontal="left" vertical="center"/>
    </xf>
    <xf numFmtId="0" fontId="499" fillId="0" borderId="0" xfId="0" applyNumberFormat="true" applyFont="true" applyAlignment="true">
      <alignment horizontal="left" vertical="center"/>
    </xf>
    <xf numFmtId="0" fontId="500" fillId="0" borderId="0" xfId="0" applyNumberFormat="true" applyFont="true" applyAlignment="true">
      <alignment horizontal="left" vertical="center"/>
    </xf>
    <xf numFmtId="0" fontId="501" fillId="0" borderId="0" xfId="0" applyNumberFormat="true" applyFont="true" applyAlignment="true">
      <alignment horizontal="left" vertical="center"/>
    </xf>
    <xf numFmtId="0" fontId="502" fillId="0" borderId="0" xfId="0" applyNumberFormat="true" applyFont="true" applyAlignment="true">
      <alignment horizontal="left" vertical="center"/>
    </xf>
    <xf numFmtId="0" fontId="503" fillId="0" borderId="0" xfId="0" applyFont="true" applyAlignment="true">
      <alignment horizontal="left" vertical="center"/>
    </xf>
    <xf numFmtId="0" fontId="504" fillId="0" borderId="0" xfId="0" applyFont="true" applyAlignment="true">
      <alignment horizontal="left" vertical="center"/>
    </xf>
    <xf numFmtId="0" fontId="505" fillId="0" borderId="0" xfId="0" applyFont="true" applyAlignment="true">
      <alignment horizontal="left" vertical="center"/>
    </xf>
    <xf numFmtId="0" fontId="506" fillId="0" borderId="0" xfId="0" applyFont="true" applyAlignment="true">
      <alignment horizontal="left" vertical="center"/>
    </xf>
    <xf numFmtId="0" fontId="507" fillId="0" borderId="0" xfId="0" applyFont="true" applyAlignment="true">
      <alignment horizontal="left" vertical="center"/>
    </xf>
    <xf numFmtId="0" fontId="508" fillId="0" borderId="0" xfId="0" applyNumberFormat="true" applyFont="true" applyAlignment="true">
      <alignment horizontal="left" vertical="center"/>
    </xf>
    <xf numFmtId="0" fontId="509" fillId="0" borderId="0" xfId="0" applyNumberFormat="true" applyFont="true" applyAlignment="true">
      <alignment horizontal="left" vertical="center"/>
    </xf>
    <xf numFmtId="0" fontId="510" fillId="0" borderId="0" xfId="0" applyNumberFormat="true" applyFont="true" applyAlignment="true">
      <alignment horizontal="left" vertical="center"/>
    </xf>
    <xf numFmtId="0" fontId="511" fillId="0" borderId="0" xfId="0" applyNumberFormat="true" applyFont="true" applyAlignment="true">
      <alignment horizontal="left" vertical="center"/>
    </xf>
    <xf numFmtId="0" fontId="512" fillId="0" borderId="0" xfId="0" applyNumberFormat="true" applyFont="true" applyAlignment="true">
      <alignment horizontal="left" vertical="center"/>
    </xf>
    <xf numFmtId="0" fontId="513" fillId="0" borderId="0" xfId="0" applyNumberFormat="true" applyFont="true" applyAlignment="true">
      <alignment horizontal="left" vertical="center"/>
    </xf>
    <xf numFmtId="0" fontId="514" fillId="0" borderId="0" xfId="0" applyNumberFormat="true" applyFont="true" applyAlignment="true">
      <alignment horizontal="left" vertical="center"/>
    </xf>
    <xf numFmtId="0" fontId="515" fillId="0" borderId="0" xfId="0" applyFont="true" applyAlignment="true">
      <alignment horizontal="left" vertical="center"/>
    </xf>
    <xf numFmtId="0" fontId="516" fillId="0" borderId="0" xfId="0" applyFont="true" applyAlignment="true">
      <alignment horizontal="left" vertical="center"/>
    </xf>
    <xf numFmtId="0" fontId="517" fillId="0" borderId="0" xfId="0" applyFont="true" applyAlignment="true">
      <alignment horizontal="left" vertical="center"/>
    </xf>
    <xf numFmtId="0" fontId="518" fillId="0" borderId="0" xfId="0" applyFont="true" applyAlignment="true">
      <alignment horizontal="left" vertical="center"/>
    </xf>
    <xf numFmtId="0" fontId="519" fillId="0" borderId="0" xfId="0" applyNumberFormat="true" applyFont="true" applyAlignment="true">
      <alignment horizontal="left" vertical="center"/>
    </xf>
    <xf numFmtId="0" fontId="520" fillId="0" borderId="0" xfId="0" applyNumberFormat="true" applyFont="true" applyAlignment="true">
      <alignment horizontal="left" vertical="center"/>
    </xf>
    <xf numFmtId="0" fontId="521" fillId="0" borderId="0" xfId="0" applyNumberFormat="true" applyFont="true" applyAlignment="true">
      <alignment horizontal="left" vertical="center"/>
    </xf>
    <xf numFmtId="0" fontId="522" fillId="0" borderId="0" xfId="0" applyNumberFormat="true" applyFont="true" applyAlignment="true">
      <alignment horizontal="left" vertical="center"/>
    </xf>
    <xf numFmtId="0" fontId="523" fillId="0" borderId="0" xfId="0" applyNumberFormat="true" applyFont="true" applyAlignment="true">
      <alignment horizontal="left" vertical="center"/>
    </xf>
    <xf numFmtId="0" fontId="524" fillId="0" borderId="0" xfId="0" applyNumberFormat="true" applyFont="true" applyAlignment="true">
      <alignment horizontal="left" vertical="center"/>
    </xf>
    <xf numFmtId="0" fontId="525" fillId="0" borderId="0" xfId="0" applyFont="true" applyAlignment="true">
      <alignment horizontal="left" vertical="center"/>
    </xf>
    <xf numFmtId="0" fontId="526" fillId="0" borderId="0" xfId="0" applyFont="true" applyAlignment="true">
      <alignment horizontal="left" vertical="center"/>
    </xf>
    <xf numFmtId="0" fontId="527" fillId="0" borderId="0" xfId="0" applyFont="true" applyAlignment="true">
      <alignment horizontal="left" vertical="center"/>
    </xf>
    <xf numFmtId="0" fontId="528" fillId="0" borderId="0" xfId="0" applyFont="true" applyAlignment="true">
      <alignment horizontal="left" vertical="center"/>
    </xf>
    <xf numFmtId="0" fontId="529" fillId="0" borderId="0" xfId="0" applyFont="true" applyAlignment="true">
      <alignment horizontal="left" vertical="center"/>
    </xf>
    <xf numFmtId="0" fontId="530" fillId="0" borderId="0" xfId="0" applyNumberFormat="true" applyFont="true" applyAlignment="true">
      <alignment horizontal="left" vertical="center"/>
    </xf>
    <xf numFmtId="0" fontId="531" fillId="0" borderId="0" xfId="0" applyNumberFormat="true" applyFont="true" applyAlignment="true">
      <alignment horizontal="left" vertical="center"/>
    </xf>
    <xf numFmtId="0" fontId="532" fillId="0" borderId="0" xfId="0" applyNumberFormat="true" applyFont="true" applyAlignment="true">
      <alignment horizontal="left" vertical="center"/>
    </xf>
    <xf numFmtId="0" fontId="533" fillId="0" borderId="0" xfId="0" applyNumberFormat="true" applyFont="true" applyAlignment="true">
      <alignment horizontal="left" vertical="center"/>
    </xf>
    <xf numFmtId="0" fontId="534" fillId="0" borderId="0" xfId="0" applyNumberFormat="true" applyFont="true" applyAlignment="true">
      <alignment horizontal="left" vertical="center"/>
    </xf>
    <xf numFmtId="0" fontId="535" fillId="0" borderId="0" xfId="0" applyNumberFormat="true" applyFont="true" applyAlignment="true">
      <alignment horizontal="left" vertical="center"/>
    </xf>
    <xf numFmtId="0" fontId="536" fillId="0" borderId="0" xfId="0" applyFont="true" applyAlignment="true">
      <alignment horizontal="left" vertical="center"/>
    </xf>
    <xf numFmtId="0" fontId="537" fillId="0" borderId="0" xfId="0" applyFont="true" applyAlignment="true">
      <alignment horizontal="left" vertical="center"/>
    </xf>
    <xf numFmtId="0" fontId="538" fillId="0" borderId="0" xfId="0" applyFont="true" applyAlignment="true">
      <alignment horizontal="left" vertical="center"/>
    </xf>
    <xf numFmtId="0" fontId="539" fillId="0" borderId="0" xfId="0" applyFont="true" applyAlignment="true">
      <alignment horizontal="left" vertical="center"/>
    </xf>
    <xf numFmtId="0" fontId="540" fillId="0" borderId="0" xfId="0" applyFont="true" applyAlignment="true">
      <alignment horizontal="left" vertical="center"/>
    </xf>
    <xf numFmtId="0" fontId="541" fillId="0" borderId="0" xfId="0" applyFont="true" applyAlignment="true">
      <alignment horizontal="left" vertical="center"/>
    </xf>
    <xf numFmtId="0" fontId="542" fillId="0" borderId="0" xfId="0" applyFont="true" applyAlignment="true">
      <alignment horizontal="left" vertical="center"/>
    </xf>
    <xf numFmtId="0" fontId="543" fillId="0" borderId="0" xfId="0" applyFont="true" applyAlignment="true">
      <alignment horizontal="left" vertical="center"/>
    </xf>
    <xf numFmtId="0" fontId="544" fillId="0" borderId="0" xfId="0" applyFont="true" applyAlignment="true">
      <alignment horizontal="left" vertical="center"/>
    </xf>
    <xf numFmtId="0" fontId="545" fillId="0" borderId="0" xfId="0" applyFont="true" applyAlignment="true">
      <alignment horizontal="left" vertical="center"/>
    </xf>
    <xf numFmtId="0" fontId="546" fillId="0" borderId="0" xfId="0" applyFont="true" applyAlignment="true">
      <alignment horizontal="left" vertical="center"/>
    </xf>
    <xf numFmtId="0" fontId="547" fillId="0" borderId="0" xfId="0" applyFont="true" applyAlignment="true">
      <alignment horizontal="left" vertical="center"/>
    </xf>
    <xf numFmtId="0" fontId="548" fillId="0" borderId="0" xfId="0" applyFont="true" applyAlignment="true">
      <alignment horizontal="left" vertical="center"/>
    </xf>
    <xf numFmtId="0" fontId="549" fillId="0" borderId="0" xfId="0" applyFont="true" applyAlignment="true">
      <alignment horizontal="left" vertical="center"/>
    </xf>
    <xf numFmtId="0" fontId="550" fillId="0" borderId="0" xfId="0" applyFont="true" applyAlignment="true">
      <alignment horizontal="left" vertical="center"/>
    </xf>
    <xf numFmtId="0" fontId="551" fillId="0" borderId="0" xfId="0" applyFont="true" applyAlignment="true">
      <alignment horizontal="left" vertical="center"/>
    </xf>
    <xf numFmtId="0" fontId="552" fillId="0" borderId="0" xfId="0" applyNumberFormat="true" applyFont="true" applyAlignment="true">
      <alignment horizontal="left" vertical="center"/>
    </xf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 applyAlignment="true">
      <alignment horizontal="left" vertical="center"/>
    </xf>
    <xf numFmtId="0" fontId="559" fillId="0" borderId="0" xfId="0" applyFont="true" applyAlignment="true">
      <alignment horizontal="left" vertical="center"/>
    </xf>
    <xf numFmtId="0" fontId="560" fillId="0" borderId="0" xfId="0" applyFont="true" applyAlignment="true">
      <alignment horizontal="left" vertical="center"/>
    </xf>
    <xf numFmtId="0" fontId="561" fillId="0" borderId="0" xfId="0" applyFont="true" applyAlignment="true">
      <alignment horizontal="left" vertical="center"/>
    </xf>
    <xf numFmtId="0" fontId="562" fillId="0" borderId="0" xfId="0" applyFont="true" applyAlignment="true">
      <alignment horizontal="left" vertical="center"/>
    </xf>
    <xf numFmtId="0" fontId="563" fillId="0" borderId="0" xfId="0" applyNumberFormat="true" applyFont="true" applyAlignment="true">
      <alignment horizontal="left" vertical="center"/>
    </xf>
    <xf numFmtId="0" fontId="564" fillId="0" borderId="0" xfId="0" applyNumberFormat="true" applyFont="true" applyAlignment="true">
      <alignment horizontal="left" vertical="center"/>
    </xf>
    <xf numFmtId="0" fontId="565" fillId="0" borderId="0" xfId="0" applyFont="true" applyAlignment="true">
      <alignment horizontal="left" vertical="center"/>
    </xf>
    <xf numFmtId="0" fontId="566" fillId="0" borderId="0" xfId="0" applyFont="true" applyAlignment="true">
      <alignment horizontal="left" vertical="center"/>
    </xf>
    <xf numFmtId="0" fontId="567" fillId="0" borderId="0" xfId="0" applyNumberFormat="true" applyFont="true" applyAlignment="true">
      <alignment horizontal="left" vertical="center"/>
    </xf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 applyAlignment="true">
      <alignment horizontal="left" vertical="center"/>
    </xf>
    <xf numFmtId="0" fontId="573" fillId="0" borderId="0" xfId="0" applyFont="true" applyAlignment="true">
      <alignment horizontal="left" vertical="center"/>
    </xf>
    <xf numFmtId="0" fontId="574" fillId="0" borderId="0" xfId="0" applyNumberFormat="true" applyFont="true" applyAlignment="true">
      <alignment horizontal="left" vertical="center"/>
    </xf>
    <xf numFmtId="0" fontId="575" fillId="0" borderId="0" xfId="0" applyNumberFormat="true" applyFont="true" applyAlignment="true">
      <alignment horizontal="left" vertical="center"/>
    </xf>
    <xf numFmtId="0" fontId="576" fillId="0" borderId="0" xfId="0" applyFont="true" applyAlignment="true">
      <alignment horizontal="left" vertical="center"/>
    </xf>
    <xf numFmtId="0" fontId="577" fillId="0" borderId="0" xfId="0" applyFont="true" applyAlignment="true">
      <alignment horizontal="left" vertical="center"/>
    </xf>
    <xf numFmtId="0" fontId="578" fillId="0" borderId="0" xfId="0" applyFont="true" applyAlignment="true">
      <alignment horizontal="left" vertical="center"/>
    </xf>
    <xf numFmtId="0" fontId="579" fillId="0" borderId="0" xfId="0" applyFont="true" applyAlignment="true">
      <alignment horizontal="left" vertical="center"/>
    </xf>
    <xf numFmtId="0" fontId="580" fillId="0" borderId="0" xfId="0" applyFont="true" applyAlignment="true">
      <alignment horizontal="left" vertical="center"/>
    </xf>
    <xf numFmtId="0" fontId="581" fillId="0" borderId="0" xfId="0" applyFont="true" applyAlignment="true">
      <alignment horizontal="left" vertical="center"/>
    </xf>
    <xf numFmtId="0" fontId="582" fillId="0" borderId="0" xfId="0" applyFont="true" applyAlignment="true">
      <alignment horizontal="left" vertical="center"/>
    </xf>
    <xf numFmtId="0" fontId="583" fillId="0" borderId="0" xfId="0" applyFont="true" applyAlignment="true">
      <alignment horizontal="left" vertical="center"/>
    </xf>
    <xf numFmtId="0" fontId="584" fillId="0" borderId="0" xfId="0" applyFont="true" applyAlignment="true">
      <alignment horizontal="left" vertical="center"/>
    </xf>
    <xf numFmtId="0" fontId="585" fillId="0" borderId="0" xfId="0" applyNumberFormat="true" applyFont="true" applyAlignment="true">
      <alignment horizontal="left" vertical="center"/>
    </xf>
    <xf numFmtId="0" fontId="586" fillId="0" borderId="0" xfId="0" applyNumberFormat="true" applyFont="true" applyAlignment="true">
      <alignment horizontal="left" vertical="center"/>
    </xf>
    <xf numFmtId="0" fontId="587" fillId="0" borderId="0" xfId="0" applyFont="true" applyAlignment="true">
      <alignment horizontal="left" vertical="center"/>
    </xf>
    <xf numFmtId="0" fontId="588" fillId="0" borderId="0" xfId="0" applyFont="true" applyAlignment="true">
      <alignment horizontal="left" vertical="center"/>
    </xf>
    <xf numFmtId="0" fontId="589" fillId="0" borderId="0" xfId="0" applyNumberFormat="true" applyFont="true" applyAlignment="true">
      <alignment horizontal="left" vertical="center"/>
    </xf>
    <xf numFmtId="0" fontId="590" fillId="0" borderId="0" xfId="0" applyFont="true"/>
    <xf numFmtId="0" fontId="591" fillId="0" borderId="0" xfId="0" applyNumberFormat="true" applyFont="true" applyAlignment="true">
      <alignment horizontal="left" vertical="center"/>
    </xf>
    <xf numFmtId="0" fontId="592" fillId="0" borderId="0" xfId="0" applyNumberFormat="true" applyFont="true" applyAlignment="true">
      <alignment horizontal="left" vertical="center"/>
    </xf>
    <xf numFmtId="0" fontId="593" fillId="0" borderId="0" xfId="0" applyNumberFormat="true" applyFont="true" applyAlignment="true">
      <alignment horizontal="left" vertical="center"/>
    </xf>
    <xf numFmtId="0" fontId="594" fillId="0" borderId="0" xfId="0" applyFont="true" applyAlignment="true">
      <alignment horizontal="left" vertical="center"/>
    </xf>
    <xf numFmtId="0" fontId="595" fillId="0" borderId="0" xfId="0" applyFont="true" applyAlignment="true">
      <alignment horizontal="left" vertical="center"/>
    </xf>
    <xf numFmtId="0" fontId="596" fillId="0" borderId="0" xfId="0" applyNumberFormat="true" applyFont="true" applyAlignment="true">
      <alignment horizontal="left" vertical="center"/>
    </xf>
    <xf numFmtId="0" fontId="597" fillId="0" borderId="0" xfId="0" applyNumberFormat="true" applyFont="true" applyAlignment="true">
      <alignment horizontal="left" vertical="center"/>
    </xf>
    <xf numFmtId="0" fontId="598" fillId="0" borderId="0" xfId="0" applyFont="true" applyAlignment="true">
      <alignment horizontal="left" vertical="center"/>
    </xf>
    <xf numFmtId="0" fontId="599" fillId="0" borderId="0" xfId="0" applyFont="true" applyAlignment="true">
      <alignment horizontal="left" vertical="center"/>
    </xf>
    <xf numFmtId="0" fontId="600" fillId="0" borderId="0" xfId="0" applyNumberFormat="true" applyFont="true" applyAlignment="true">
      <alignment horizontal="left" vertical="center"/>
    </xf>
    <xf numFmtId="0" fontId="601" fillId="0" borderId="0" xfId="0" applyFont="true"/>
    <xf numFmtId="0" fontId="602" fillId="0" borderId="0" xfId="0" applyNumberFormat="true" applyFont="true" applyAlignment="true">
      <alignment horizontal="left" vertical="center"/>
    </xf>
    <xf numFmtId="0" fontId="603" fillId="0" borderId="0" xfId="0" applyNumberFormat="true" applyFont="true" applyAlignment="true">
      <alignment horizontal="left" vertical="center"/>
    </xf>
    <xf numFmtId="0" fontId="604" fillId="0" borderId="0" xfId="0" applyFont="true" applyAlignment="true">
      <alignment horizontal="left" vertical="center"/>
    </xf>
    <xf numFmtId="0" fontId="605" fillId="0" borderId="0" xfId="0" applyFont="true" applyAlignment="true">
      <alignment horizontal="left" vertical="center"/>
    </xf>
    <xf numFmtId="0" fontId="606" fillId="0" borderId="0" xfId="0" applyFont="true" applyAlignment="true">
      <alignment horizontal="left" vertical="center"/>
    </xf>
    <xf numFmtId="0" fontId="607" fillId="0" borderId="0" xfId="0" applyNumberFormat="true" applyFont="true" applyAlignment="true">
      <alignment horizontal="left" vertical="center"/>
    </xf>
    <xf numFmtId="0" fontId="608" fillId="0" borderId="0" xfId="0" applyNumberFormat="true" applyFont="true" applyAlignment="true">
      <alignment horizontal="left" vertical="center"/>
    </xf>
    <xf numFmtId="0" fontId="609" fillId="0" borderId="0" xfId="0" applyFont="true" applyAlignment="true">
      <alignment horizontal="left" vertical="center"/>
    </xf>
    <xf numFmtId="0" fontId="610" fillId="0" borderId="0" xfId="0" applyFont="true" applyAlignment="true">
      <alignment horizontal="left" vertical="center"/>
    </xf>
    <xf numFmtId="0" fontId="611" fillId="0" borderId="0" xfId="0" applyFont="true" applyAlignment="true">
      <alignment horizontal="left" vertical="center"/>
    </xf>
    <xf numFmtId="0" fontId="612" fillId="0" borderId="0" xfId="0" applyFont="true" applyAlignment="true">
      <alignment horizontal="left" vertical="center"/>
    </xf>
    <xf numFmtId="0" fontId="613" fillId="0" borderId="0" xfId="0" applyNumberFormat="true" applyFont="true" applyAlignment="true">
      <alignment horizontal="left" vertical="center"/>
    </xf>
    <xf numFmtId="0" fontId="614" fillId="0" borderId="0" xfId="0" applyFont="true" applyAlignment="true">
      <alignment horizontal="left" vertical="center"/>
    </xf>
    <xf numFmtId="0" fontId="615" fillId="0" borderId="0" xfId="0" applyFont="true" applyAlignment="true">
      <alignment horizontal="left" vertical="center"/>
    </xf>
    <xf numFmtId="0" fontId="616" fillId="0" borderId="0" xfId="0" applyFont="true" applyAlignment="true">
      <alignment horizontal="left" vertical="center"/>
    </xf>
    <xf numFmtId="0" fontId="617" fillId="0" borderId="0" xfId="0" applyFont="true" applyAlignment="true">
      <alignment horizontal="left" vertical="center"/>
    </xf>
    <xf numFmtId="0" fontId="618" fillId="0" borderId="0" xfId="0" applyNumberFormat="true" applyFont="true" applyAlignment="true">
      <alignment horizontal="left" vertical="center"/>
    </xf>
    <xf numFmtId="0" fontId="619" fillId="0" borderId="0" xfId="0" applyFont="true" applyAlignment="true">
      <alignment horizontal="left" vertical="center"/>
    </xf>
    <xf numFmtId="0" fontId="620" fillId="0" borderId="0" xfId="0" applyFont="true" applyAlignment="true">
      <alignment horizontal="left" vertical="center"/>
    </xf>
    <xf numFmtId="0" fontId="621" fillId="0" borderId="0" xfId="0" applyFont="true" applyAlignment="true">
      <alignment horizontal="left" vertical="center"/>
    </xf>
    <xf numFmtId="0" fontId="622" fillId="0" borderId="0" xfId="0" applyFont="true" applyAlignment="true">
      <alignment horizontal="left" vertical="center"/>
    </xf>
    <xf numFmtId="0" fontId="623" fillId="0" borderId="0" xfId="0" applyFont="true" applyAlignment="true">
      <alignment horizontal="left" vertical="center"/>
    </xf>
    <xf numFmtId="0" fontId="624" fillId="0" borderId="0" xfId="0" applyFont="true" applyAlignment="true">
      <alignment horizontal="left" vertical="center"/>
    </xf>
    <xf numFmtId="0" fontId="625" fillId="0" borderId="0" xfId="0" applyFont="true" applyAlignment="true">
      <alignment horizontal="left" vertical="center"/>
    </xf>
    <xf numFmtId="0" fontId="626" fillId="0" borderId="0" xfId="0" applyFont="true" applyAlignment="true">
      <alignment horizontal="left" vertical="center"/>
    </xf>
    <xf numFmtId="0" fontId="627" fillId="0" borderId="0" xfId="0" applyFont="true" applyAlignment="true">
      <alignment horizontal="left" vertical="center"/>
    </xf>
    <xf numFmtId="0" fontId="628" fillId="0" borderId="0" xfId="0" applyFont="true" applyAlignment="true">
      <alignment horizontal="left" vertical="center"/>
    </xf>
    <xf numFmtId="0" fontId="629" fillId="0" borderId="0" xfId="0" applyNumberFormat="true" applyFont="true" applyAlignment="true">
      <alignment horizontal="left" vertical="center"/>
    </xf>
    <xf numFmtId="0" fontId="630" fillId="0" borderId="0" xfId="0" applyFont="true" applyAlignment="true">
      <alignment horizontal="left" vertical="center"/>
    </xf>
    <xf numFmtId="0" fontId="631" fillId="0" borderId="0" xfId="0" applyFont="true" applyAlignment="true">
      <alignment horizontal="left" vertical="center"/>
    </xf>
    <xf numFmtId="0" fontId="632" fillId="0" borderId="0" xfId="0" applyFont="true" applyAlignment="true">
      <alignment horizontal="left" vertical="center"/>
    </xf>
    <xf numFmtId="0" fontId="633" fillId="0" borderId="0" xfId="0" applyFont="true" applyAlignment="true">
      <alignment horizontal="left" vertical="center"/>
    </xf>
    <xf numFmtId="0" fontId="634" fillId="0" borderId="0" xfId="0" applyFont="true" applyAlignment="true">
      <alignment horizontal="left" vertical="center"/>
    </xf>
    <xf numFmtId="0" fontId="635" fillId="0" borderId="0" xfId="0" applyFont="true" applyAlignment="true">
      <alignment horizontal="left" vertical="center"/>
    </xf>
    <xf numFmtId="0" fontId="636" fillId="0" borderId="0" xfId="0" applyFont="true" applyAlignment="true">
      <alignment horizontal="left" vertical="center"/>
    </xf>
    <xf numFmtId="0" fontId="637" fillId="0" borderId="0" xfId="0" applyFont="true" applyAlignment="true">
      <alignment horizontal="left" vertical="center"/>
    </xf>
    <xf numFmtId="0" fontId="638" fillId="0" borderId="0" xfId="0" applyFont="true" applyAlignment="true">
      <alignment horizontal="left" vertical="center"/>
    </xf>
    <xf numFmtId="0" fontId="639" fillId="0" borderId="0" xfId="0" applyFont="true" applyAlignment="true">
      <alignment horizontal="left" vertical="center"/>
    </xf>
    <xf numFmtId="0" fontId="640" fillId="0" borderId="0" xfId="0" applyFont="true" applyAlignment="true">
      <alignment horizontal="left" vertical="center"/>
    </xf>
    <xf numFmtId="0" fontId="641" fillId="0" borderId="0" xfId="0" applyFont="true" applyAlignment="true">
      <alignment horizontal="left" vertical="center"/>
    </xf>
    <xf numFmtId="0" fontId="642" fillId="0" borderId="0" xfId="0" applyFont="true" applyAlignment="true">
      <alignment horizontal="left" vertical="center"/>
    </xf>
    <xf numFmtId="0" fontId="643" fillId="0" borderId="0" xfId="0" applyFont="true" applyAlignment="true">
      <alignment horizontal="left" vertical="center"/>
    </xf>
    <xf numFmtId="0" fontId="644" fillId="0" borderId="0" xfId="0" applyFont="true" applyAlignment="true">
      <alignment horizontal="left" vertical="center"/>
    </xf>
    <xf numFmtId="0" fontId="645" fillId="0" borderId="0" xfId="0" applyFont="true" applyAlignment="true">
      <alignment horizontal="left" vertical="center"/>
    </xf>
    <xf numFmtId="0" fontId="646" fillId="0" borderId="0" xfId="0" applyFont="true" applyAlignment="true">
      <alignment horizontal="left" vertical="center"/>
    </xf>
    <xf numFmtId="0" fontId="647" fillId="0" borderId="0" xfId="0" applyFont="true" applyAlignment="true">
      <alignment horizontal="left" vertical="center"/>
    </xf>
    <xf numFmtId="0" fontId="648" fillId="0" borderId="0" xfId="0" applyFont="true" applyAlignment="true">
      <alignment horizontal="left" vertical="center"/>
    </xf>
    <xf numFmtId="0" fontId="649" fillId="0" borderId="0" xfId="0" applyFont="true" applyAlignment="true">
      <alignment horizontal="left" vertical="center"/>
    </xf>
    <xf numFmtId="0" fontId="650" fillId="0" borderId="0" xfId="0" applyFont="true" applyAlignment="true">
      <alignment horizontal="left" vertical="center"/>
    </xf>
    <xf numFmtId="0" fontId="651" fillId="0" borderId="0" xfId="0" applyNumberFormat="true" applyFont="true" applyAlignment="true">
      <alignment horizontal="left" vertical="center"/>
    </xf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 applyAlignment="true">
      <alignment horizontal="left" vertical="center"/>
    </xf>
    <xf numFmtId="0" fontId="658" fillId="0" borderId="0" xfId="0" applyFont="true" applyAlignment="true">
      <alignment horizontal="left" vertical="center"/>
    </xf>
    <xf numFmtId="0" fontId="659" fillId="0" borderId="0" xfId="0" applyFont="true" applyAlignment="true">
      <alignment horizontal="left" vertical="center"/>
    </xf>
    <xf numFmtId="0" fontId="660" fillId="0" borderId="0" xfId="0" applyFont="true" applyAlignment="true">
      <alignment horizontal="left" vertical="center"/>
    </xf>
    <xf numFmtId="0" fontId="661" fillId="0" borderId="0" xfId="0" applyFont="true" applyAlignment="true">
      <alignment horizontal="left" vertical="center"/>
    </xf>
    <xf numFmtId="0" fontId="662" fillId="0" borderId="0" xfId="0" applyNumberFormat="true" applyFont="true" applyAlignment="true">
      <alignment horizontal="left" vertical="center"/>
    </xf>
    <xf numFmtId="0" fontId="663" fillId="0" borderId="0" xfId="0" applyNumberFormat="true" applyFont="true" applyAlignment="true">
      <alignment horizontal="left" vertical="center"/>
    </xf>
    <xf numFmtId="0" fontId="664" fillId="0" borderId="0" xfId="0" applyNumberFormat="true" applyFont="true" applyAlignment="true">
      <alignment horizontal="left" vertical="center"/>
    </xf>
    <xf numFmtId="0" fontId="665" fillId="0" borderId="0" xfId="0" applyFont="true" applyAlignment="true">
      <alignment horizontal="left" vertical="center"/>
    </xf>
    <xf numFmtId="0" fontId="666" fillId="0" borderId="0" xfId="0" applyNumberFormat="true" applyFont="true" applyAlignment="true">
      <alignment horizontal="left" vertical="center"/>
    </xf>
    <xf numFmtId="0" fontId="667" fillId="0" borderId="0" xfId="0" applyFont="true"/>
    <xf numFmtId="0" fontId="668" fillId="0" borderId="0" xfId="0" applyFont="true"/>
    <xf numFmtId="0" fontId="669" fillId="0" borderId="0" xfId="0" applyFont="true" applyAlignment="true">
      <alignment horizontal="left" vertical="center"/>
    </xf>
    <xf numFmtId="0" fontId="670" fillId="0" borderId="0" xfId="0" applyFont="true" applyAlignment="true">
      <alignment horizontal="left" vertical="center"/>
    </xf>
    <xf numFmtId="0" fontId="671" fillId="0" borderId="0" xfId="0" applyFont="true" applyAlignment="true">
      <alignment horizontal="left" vertical="center"/>
    </xf>
    <xf numFmtId="0" fontId="672" fillId="0" borderId="0" xfId="0" applyFont="true" applyAlignment="true">
      <alignment horizontal="left" vertical="center"/>
    </xf>
    <xf numFmtId="0" fontId="673" fillId="0" borderId="0" xfId="0" applyNumberFormat="true" applyFont="true" applyAlignment="true">
      <alignment horizontal="left" vertical="center"/>
    </xf>
    <xf numFmtId="0" fontId="674" fillId="0" borderId="0" xfId="0" applyNumberFormat="true" applyFont="true" applyAlignment="true">
      <alignment horizontal="left" vertical="center"/>
    </xf>
    <xf numFmtId="0" fontId="675" fillId="0" borderId="0" xfId="0" applyNumberFormat="true" applyFont="true" applyAlignment="true">
      <alignment horizontal="left" vertical="center"/>
    </xf>
    <xf numFmtId="0" fontId="676" fillId="0" borderId="0" xfId="0" applyFont="true" applyAlignment="true">
      <alignment horizontal="left" vertical="center"/>
    </xf>
    <xf numFmtId="0" fontId="677" fillId="0" borderId="0" xfId="0" applyNumberFormat="true" applyFont="true" applyAlignment="true">
      <alignment horizontal="left" vertical="center"/>
    </xf>
    <xf numFmtId="0" fontId="678" fillId="0" borderId="0" xfId="0" applyFont="true" applyAlignment="true">
      <alignment horizontal="left" vertical="center"/>
    </xf>
    <xf numFmtId="0" fontId="679" fillId="0" borderId="0" xfId="0" applyFont="true" applyAlignment="true">
      <alignment horizontal="left" vertical="center"/>
    </xf>
    <xf numFmtId="0" fontId="680" fillId="0" borderId="0" xfId="0" applyFont="true" applyAlignment="true">
      <alignment horizontal="left" vertical="center"/>
    </xf>
    <xf numFmtId="0" fontId="681" fillId="0" borderId="0" xfId="0" applyFont="true" applyAlignment="true">
      <alignment horizontal="left" vertical="center"/>
    </xf>
    <xf numFmtId="0" fontId="682" fillId="0" borderId="0" xfId="0" applyFont="true" applyAlignment="true">
      <alignment horizontal="left" vertical="center"/>
    </xf>
    <xf numFmtId="0" fontId="683" fillId="0" borderId="0" xfId="0" applyFont="true" applyAlignment="true">
      <alignment horizontal="left" vertical="center"/>
    </xf>
    <xf numFmtId="0" fontId="684" fillId="0" borderId="0" xfId="0" applyNumberFormat="true" applyFont="true" applyAlignment="true">
      <alignment horizontal="left" vertical="center"/>
    </xf>
    <xf numFmtId="0" fontId="685" fillId="0" borderId="0" xfId="0" applyNumberFormat="true" applyFont="true" applyAlignment="true">
      <alignment horizontal="left" vertical="center"/>
    </xf>
    <xf numFmtId="0" fontId="686" fillId="0" borderId="0" xfId="0" applyNumberFormat="true" applyFont="true" applyAlignment="true">
      <alignment horizontal="left" vertical="center"/>
    </xf>
    <xf numFmtId="0" fontId="687" fillId="0" borderId="0" xfId="0" applyFont="true" applyAlignment="true">
      <alignment horizontal="left" vertical="center"/>
    </xf>
    <xf numFmtId="0" fontId="688" fillId="0" borderId="0" xfId="0" applyNumberFormat="true" applyFont="true" applyAlignment="true">
      <alignment horizontal="left" vertical="center"/>
    </xf>
    <xf numFmtId="0" fontId="689" fillId="0" borderId="0" xfId="0" applyFont="true"/>
    <xf numFmtId="0" fontId="690" fillId="0" borderId="0" xfId="0" applyFont="true"/>
    <xf numFmtId="0" fontId="691" fillId="0" borderId="0" xfId="0" applyFont="true" applyAlignment="true">
      <alignment horizontal="left" vertical="center"/>
    </xf>
    <xf numFmtId="0" fontId="692" fillId="0" borderId="0" xfId="0" applyFont="true" applyAlignment="true">
      <alignment horizontal="left" vertical="center"/>
    </xf>
    <xf numFmtId="0" fontId="693" fillId="0" borderId="0" xfId="0" applyFont="true" applyAlignment="true">
      <alignment horizontal="left" vertical="center"/>
    </xf>
    <xf numFmtId="0" fontId="694" fillId="0" borderId="0" xfId="0" applyFont="true" applyAlignment="true">
      <alignment horizontal="left" vertical="center"/>
    </xf>
    <xf numFmtId="0" fontId="695" fillId="0" borderId="0" xfId="0" applyNumberFormat="true" applyFont="true" applyAlignment="true">
      <alignment horizontal="left" vertical="center"/>
    </xf>
    <xf numFmtId="0" fontId="696" fillId="0" borderId="0" xfId="0" applyNumberFormat="true" applyFont="true" applyAlignment="true">
      <alignment horizontal="left" vertical="center"/>
    </xf>
    <xf numFmtId="0" fontId="697" fillId="0" borderId="0" xfId="0" applyNumberFormat="true" applyFont="true" applyAlignment="true">
      <alignment horizontal="left" vertical="center"/>
    </xf>
    <xf numFmtId="0" fontId="698" fillId="0" borderId="0" xfId="0" applyFont="true" applyAlignment="true">
      <alignment horizontal="left" vertical="center"/>
    </xf>
    <xf numFmtId="0" fontId="699" fillId="0" borderId="0" xfId="0" applyNumberFormat="true" applyFont="true" applyAlignment="true">
      <alignment horizontal="left" vertical="center"/>
    </xf>
    <xf numFmtId="0" fontId="700" fillId="0" borderId="0" xfId="0" applyFont="true" applyAlignment="true">
      <alignment horizontal="left" vertical="center"/>
    </xf>
    <xf numFmtId="0" fontId="701" fillId="0" borderId="0" xfId="0" applyFont="true" applyAlignment="true">
      <alignment horizontal="left" vertical="center"/>
    </xf>
    <xf numFmtId="0" fontId="702" fillId="0" borderId="0" xfId="0" applyFont="true" applyAlignment="true">
      <alignment horizontal="left" vertical="center"/>
    </xf>
    <xf numFmtId="0" fontId="703" fillId="0" borderId="0" xfId="0" applyFont="true" applyAlignment="true">
      <alignment horizontal="left" vertical="center"/>
    </xf>
    <xf numFmtId="0" fontId="704" fillId="0" borderId="0" xfId="0" applyFont="true" applyAlignment="true">
      <alignment horizontal="left" vertical="center"/>
    </xf>
    <xf numFmtId="0" fontId="705" fillId="0" borderId="0" xfId="0" applyFont="true" applyAlignment="true">
      <alignment horizontal="left" vertical="center"/>
    </xf>
    <xf numFmtId="0" fontId="706" fillId="0" borderId="0" xfId="0" applyNumberFormat="true" applyFont="true" applyAlignment="true">
      <alignment horizontal="left" vertical="center"/>
    </xf>
    <xf numFmtId="0" fontId="707" fillId="0" borderId="0" xfId="0" applyNumberFormat="true" applyFont="true" applyAlignment="true">
      <alignment horizontal="left" vertical="center"/>
    </xf>
    <xf numFmtId="0" fontId="708" fillId="0" borderId="0" xfId="0" applyNumberFormat="true" applyFont="true" applyAlignment="true">
      <alignment horizontal="left" vertical="center"/>
    </xf>
    <xf numFmtId="0" fontId="709" fillId="0" borderId="0" xfId="0" applyFont="true" applyAlignment="true">
      <alignment horizontal="left" vertical="center"/>
    </xf>
    <xf numFmtId="0" fontId="710" fillId="0" borderId="0" xfId="0" applyNumberFormat="true" applyFont="true" applyAlignment="true">
      <alignment horizontal="left" vertical="center"/>
    </xf>
    <xf numFmtId="0" fontId="711" fillId="0" borderId="0" xfId="0" applyFont="true"/>
    <xf numFmtId="0" fontId="712" fillId="0" borderId="0" xfId="0" applyFont="true"/>
    <xf numFmtId="0" fontId="713" fillId="0" borderId="0" xfId="0" applyFont="true" applyAlignment="true">
      <alignment horizontal="left" vertical="center"/>
    </xf>
    <xf numFmtId="0" fontId="714" fillId="0" borderId="0" xfId="0" applyFont="true" applyAlignment="true">
      <alignment horizontal="left" vertical="center"/>
    </xf>
    <xf numFmtId="0" fontId="715" fillId="0" borderId="0" xfId="0" applyFont="true" applyAlignment="true">
      <alignment horizontal="left" vertical="center"/>
    </xf>
    <xf numFmtId="0" fontId="716" fillId="0" borderId="0" xfId="0" applyFont="true" applyAlignment="true">
      <alignment horizontal="left" vertical="center"/>
    </xf>
    <xf numFmtId="0" fontId="717" fillId="0" borderId="0" xfId="0" applyNumberFormat="true" applyFont="true" applyAlignment="true">
      <alignment horizontal="left" vertical="center"/>
    </xf>
    <xf numFmtId="0" fontId="718" fillId="0" borderId="0" xfId="0" applyNumberFormat="true" applyFont="true" applyAlignment="true">
      <alignment horizontal="left" vertical="center"/>
    </xf>
    <xf numFmtId="0" fontId="719" fillId="0" borderId="0" xfId="0" applyNumberFormat="true" applyFont="true" applyAlignment="true">
      <alignment horizontal="left" vertical="center"/>
    </xf>
    <xf numFmtId="0" fontId="720" fillId="0" borderId="0" xfId="0" applyFont="true" applyAlignment="true">
      <alignment horizontal="left" vertical="center"/>
    </xf>
    <xf numFmtId="0" fontId="721" fillId="0" borderId="0" xfId="0" applyNumberFormat="true" applyFont="true" applyAlignment="true">
      <alignment horizontal="left" vertical="center"/>
    </xf>
    <xf numFmtId="0" fontId="722" fillId="0" borderId="0" xfId="0" applyFont="true" applyAlignment="true">
      <alignment horizontal="left" vertical="center"/>
    </xf>
    <xf numFmtId="0" fontId="723" fillId="0" borderId="0" xfId="0" applyFont="true" applyAlignment="true">
      <alignment horizontal="left" vertical="center"/>
    </xf>
    <xf numFmtId="0" fontId="724" fillId="0" borderId="0" xfId="0" applyFont="true" applyAlignment="true">
      <alignment horizontal="left" vertical="center"/>
    </xf>
    <xf numFmtId="0" fontId="725" fillId="0" borderId="0" xfId="0" applyFont="true" applyAlignment="true">
      <alignment horizontal="left" vertical="center"/>
    </xf>
    <xf numFmtId="0" fontId="726" fillId="0" borderId="0" xfId="0" applyFont="true" applyAlignment="true">
      <alignment horizontal="left" vertical="center"/>
    </xf>
    <xf numFmtId="0" fontId="727" fillId="0" borderId="0" xfId="0" applyFont="true" applyAlignment="true">
      <alignment horizontal="left" vertical="center"/>
    </xf>
    <xf numFmtId="0" fontId="728" fillId="0" borderId="0" xfId="0" applyNumberFormat="true" applyFont="true" applyAlignment="true">
      <alignment horizontal="left" vertical="center"/>
    </xf>
    <xf numFmtId="0" fontId="729" fillId="0" borderId="0" xfId="0" applyNumberFormat="true" applyFont="true" applyAlignment="true">
      <alignment horizontal="left" vertical="center"/>
    </xf>
    <xf numFmtId="0" fontId="730" fillId="0" borderId="0" xfId="0" applyNumberFormat="true" applyFont="true" applyAlignment="true">
      <alignment horizontal="left" vertical="center"/>
    </xf>
    <xf numFmtId="0" fontId="731" fillId="0" borderId="0" xfId="0" applyFont="true" applyAlignment="true">
      <alignment horizontal="left" vertical="center"/>
    </xf>
    <xf numFmtId="0" fontId="732" fillId="0" borderId="0" xfId="0" applyNumberFormat="true" applyFont="true" applyAlignment="true">
      <alignment horizontal="left" vertical="center"/>
    </xf>
    <xf numFmtId="0" fontId="733" fillId="0" borderId="0" xfId="0" applyFont="true"/>
    <xf numFmtId="0" fontId="734" fillId="0" borderId="0" xfId="0" applyFont="true"/>
    <xf numFmtId="0" fontId="735" fillId="0" borderId="0" xfId="0" applyFont="true" applyAlignment="true">
      <alignment horizontal="left" vertical="center"/>
    </xf>
    <xf numFmtId="0" fontId="736" fillId="0" borderId="0" xfId="0" applyFont="true" applyAlignment="true">
      <alignment horizontal="left" vertical="center"/>
    </xf>
    <xf numFmtId="0" fontId="737" fillId="0" borderId="0" xfId="0" applyFont="true" applyAlignment="true">
      <alignment horizontal="left" vertical="center"/>
    </xf>
    <xf numFmtId="0" fontId="738" fillId="0" borderId="0" xfId="0" applyFont="true" applyAlignment="true">
      <alignment horizontal="left" vertical="center"/>
    </xf>
    <xf numFmtId="0" fontId="739" fillId="0" borderId="0" xfId="0" applyNumberFormat="true" applyFont="true" applyAlignment="true">
      <alignment horizontal="left" vertical="center"/>
    </xf>
    <xf numFmtId="0" fontId="740" fillId="0" borderId="0" xfId="0" applyNumberFormat="true" applyFont="true" applyAlignment="true">
      <alignment horizontal="left" vertical="center"/>
    </xf>
    <xf numFmtId="0" fontId="741" fillId="0" borderId="0" xfId="0" applyNumberFormat="true" applyFont="true" applyAlignment="true">
      <alignment horizontal="left" vertical="center"/>
    </xf>
    <xf numFmtId="0" fontId="742" fillId="0" borderId="0" xfId="0" applyFont="true" applyAlignment="true">
      <alignment horizontal="left" vertical="center"/>
    </xf>
    <xf numFmtId="0" fontId="743" fillId="0" borderId="0" xfId="0" applyNumberFormat="true" applyFont="true" applyAlignment="true">
      <alignment horizontal="left" vertical="center"/>
    </xf>
    <xf numFmtId="0" fontId="744" fillId="0" borderId="0" xfId="0" applyFont="true" applyAlignment="true">
      <alignment horizontal="left" vertical="center"/>
    </xf>
    <xf numFmtId="0" fontId="745" fillId="0" borderId="0" xfId="0" applyFont="true" applyAlignment="true">
      <alignment horizontal="left" vertical="center"/>
    </xf>
    <xf numFmtId="0" fontId="746" fillId="0" borderId="0" xfId="0" applyFont="true" applyAlignment="true">
      <alignment horizontal="left" vertical="center"/>
    </xf>
    <xf numFmtId="0" fontId="747" fillId="0" borderId="0" xfId="0" applyFont="true" applyAlignment="true">
      <alignment horizontal="left" vertical="center"/>
    </xf>
    <xf numFmtId="0" fontId="748" fillId="0" borderId="0" xfId="0" applyFont="true" applyAlignment="true">
      <alignment horizontal="left" vertical="center"/>
    </xf>
    <xf numFmtId="0" fontId="749" fillId="0" borderId="0" xfId="0" applyFont="true" applyAlignment="true">
      <alignment horizontal="left" vertical="center"/>
    </xf>
    <xf numFmtId="0" fontId="750" fillId="0" borderId="0" xfId="0" applyNumberFormat="true" applyFont="true" applyAlignment="true">
      <alignment horizontal="left" vertical="center"/>
    </xf>
    <xf numFmtId="0" fontId="751" fillId="0" borderId="0" xfId="0" applyNumberFormat="true" applyFont="true" applyAlignment="true">
      <alignment horizontal="left" vertical="center"/>
    </xf>
    <xf numFmtId="0" fontId="752" fillId="0" borderId="0" xfId="0" applyNumberFormat="true" applyFont="true" applyAlignment="true">
      <alignment horizontal="left" vertical="center"/>
    </xf>
    <xf numFmtId="0" fontId="753" fillId="0" borderId="0" xfId="0" applyFont="true" applyAlignment="true">
      <alignment horizontal="left" vertical="center"/>
    </xf>
    <xf numFmtId="0" fontId="754" fillId="0" borderId="0" xfId="0" applyNumberFormat="true" applyFont="true" applyAlignment="true">
      <alignment horizontal="left" vertical="center"/>
    </xf>
    <xf numFmtId="0" fontId="755" fillId="0" borderId="0" xfId="0" applyFont="true"/>
    <xf numFmtId="0" fontId="756" fillId="0" borderId="0" xfId="0" applyFont="true"/>
    <xf numFmtId="0" fontId="757" fillId="0" borderId="0" xfId="0" applyFont="true" applyAlignment="true">
      <alignment horizontal="left" vertical="center"/>
    </xf>
    <xf numFmtId="0" fontId="758" fillId="0" borderId="0" xfId="0" applyFont="true" applyAlignment="true">
      <alignment horizontal="left" vertical="center"/>
    </xf>
    <xf numFmtId="0" fontId="759" fillId="0" borderId="0" xfId="0" applyFont="true" applyAlignment="true">
      <alignment horizontal="left" vertical="center"/>
    </xf>
    <xf numFmtId="0" fontId="760" fillId="0" borderId="0" xfId="0" applyFont="true" applyAlignment="true">
      <alignment horizontal="left" vertical="center"/>
    </xf>
    <xf numFmtId="0" fontId="761" fillId="0" borderId="0" xfId="0" applyNumberFormat="true" applyFont="true" applyAlignment="true">
      <alignment horizontal="left" vertical="center"/>
    </xf>
    <xf numFmtId="0" fontId="762" fillId="0" borderId="0" xfId="0" applyNumberFormat="true" applyFont="true" applyAlignment="true">
      <alignment horizontal="left" vertical="center"/>
    </xf>
    <xf numFmtId="0" fontId="763" fillId="0" borderId="0" xfId="0" applyNumberFormat="true" applyFont="true" applyAlignment="true">
      <alignment horizontal="left" vertical="center"/>
    </xf>
    <xf numFmtId="0" fontId="764" fillId="0" borderId="0" xfId="0" applyFont="true" applyAlignment="true">
      <alignment horizontal="left" vertical="center"/>
    </xf>
    <xf numFmtId="0" fontId="765" fillId="0" borderId="0" xfId="0" applyNumberFormat="true" applyFont="true" applyAlignment="true">
      <alignment horizontal="left" vertical="center"/>
    </xf>
    <xf numFmtId="0" fontId="766" fillId="0" borderId="0" xfId="0" applyFont="true" applyAlignment="true">
      <alignment horizontal="left" vertical="center"/>
    </xf>
    <xf numFmtId="0" fontId="767" fillId="0" borderId="0" xfId="0" applyFont="true" applyAlignment="true">
      <alignment horizontal="left" vertical="center"/>
    </xf>
    <xf numFmtId="0" fontId="768" fillId="0" borderId="0" xfId="0" applyFont="true" applyAlignment="true">
      <alignment horizontal="left" vertical="center"/>
    </xf>
    <xf numFmtId="0" fontId="769" fillId="0" borderId="0" xfId="0" applyFont="true"/>
    <xf numFmtId="0" fontId="770" fillId="0" borderId="0" xfId="0" applyFont="true" applyAlignment="true">
      <alignment horizontal="left" vertical="top"/>
    </xf>
    <xf numFmtId="0" fontId="771" fillId="0" borderId="0" xfId="0" applyFont="true" applyAlignment="true">
      <alignment horizontal="left" vertical="top"/>
    </xf>
    <xf numFmtId="0" fontId="772" fillId="0" borderId="0" xfId="0" applyFont="true" applyAlignment="true">
      <alignment horizontal="left" vertical="top"/>
    </xf>
    <xf numFmtId="0" fontId="773" fillId="0" borderId="0" xfId="0" applyFont="true" applyAlignment="true">
      <alignment horizontal="left" vertical="top"/>
    </xf>
    <xf numFmtId="0" fontId="774" fillId="0" borderId="0" xfId="0" applyFont="true" applyAlignment="true">
      <alignment horizontal="left" vertical="top"/>
    </xf>
    <xf numFmtId="0" fontId="775" fillId="0" borderId="0" xfId="0" applyFont="true" applyAlignment="true">
      <alignment horizontal="left" vertical="top"/>
    </xf>
    <xf numFmtId="0" fontId="776" fillId="0" borderId="0" xfId="0" applyFont="true" applyAlignment="true">
      <alignment horizontal="left" vertical="top"/>
    </xf>
    <xf numFmtId="0" fontId="777" fillId="0" borderId="0" xfId="0" applyFont="true" applyAlignment="true">
      <alignment horizontal="left" vertical="top"/>
    </xf>
    <xf numFmtId="0" fontId="778" fillId="0" borderId="0" xfId="0" applyFont="true" applyAlignment="true">
      <alignment horizontal="left" vertical="top"/>
    </xf>
    <xf numFmtId="0" fontId="779" fillId="0" borderId="0" xfId="0" applyFont="true" applyAlignment="true">
      <alignment horizontal="left" vertical="top"/>
    </xf>
    <xf numFmtId="0" fontId="780" fillId="0" borderId="0" xfId="0" applyFont="true" applyAlignment="true">
      <alignment horizontal="left" vertical="top"/>
    </xf>
    <xf numFmtId="0" fontId="781" fillId="0" borderId="0" xfId="0" applyFont="true" applyAlignment="true">
      <alignment horizontal="left" vertical="top"/>
    </xf>
    <xf numFmtId="0" fontId="782" fillId="0" borderId="0" xfId="0" applyFont="true" applyAlignment="true">
      <alignment horizontal="left" vertical="top"/>
    </xf>
    <xf numFmtId="0" fontId="783" fillId="0" borderId="0" xfId="0" applyFont="true" applyAlignment="true">
      <alignment horizontal="left" vertical="top"/>
    </xf>
    <xf numFmtId="0" fontId="784" fillId="0" borderId="0" xfId="0" applyNumberFormat="true" applyFont="true" applyAlignment="true">
      <alignment horizontal="left" vertical="top"/>
    </xf>
    <xf numFmtId="0" fontId="785" fillId="0" borderId="0" xfId="0" applyFont="true" applyAlignment="true">
      <alignment horizontal="left" vertical="top"/>
    </xf>
    <xf numFmtId="0" fontId="786" fillId="0" borderId="0" xfId="0" applyNumberFormat="true" applyFont="true" applyAlignment="true">
      <alignment horizontal="left" vertical="center"/>
    </xf>
    <xf numFmtId="0" fontId="787" fillId="0" borderId="0" xfId="0" applyFont="true" applyAlignment="true">
      <alignment horizontal="left" vertical="top"/>
    </xf>
    <xf numFmtId="0" fontId="788" fillId="0" borderId="0" xfId="0" applyNumberFormat="true" applyFont="true" applyAlignment="true">
      <alignment horizontal="left" vertical="center"/>
    </xf>
    <xf numFmtId="0" fontId="789" fillId="0" borderId="0" xfId="0" applyFont="true" applyAlignment="true">
      <alignment horizontal="left" vertical="top"/>
    </xf>
    <xf numFmtId="0" fontId="790" fillId="0" borderId="0" xfId="0" applyNumberFormat="true" applyFont="true" applyAlignment="true">
      <alignment horizontal="left" vertical="center"/>
    </xf>
    <xf numFmtId="0" fontId="791" fillId="0" borderId="0" xfId="0" applyFont="true" applyAlignment="true">
      <alignment horizontal="left" vertical="top"/>
    </xf>
    <xf numFmtId="0" fontId="792" fillId="0" borderId="0" xfId="0" applyNumberFormat="true" applyFont="true" applyAlignment="true">
      <alignment horizontal="left" vertical="center"/>
    </xf>
    <xf numFmtId="0" fontId="793" fillId="0" borderId="0" xfId="0" applyFont="true"/>
    <xf numFmtId="0" fontId="794" fillId="0" borderId="0" xfId="0" applyFont="true" applyAlignment="true">
      <alignment horizontal="left" vertical="top"/>
    </xf>
    <xf numFmtId="0" fontId="795" fillId="0" borderId="0" xfId="0" applyFont="true" applyAlignment="true">
      <alignment horizontal="left" vertical="top"/>
    </xf>
    <xf numFmtId="0" fontId="796" fillId="0" borderId="0" xfId="0" applyNumberFormat="true" applyFont="true" applyAlignment="true">
      <alignment horizontal="right" vertical="center"/>
    </xf>
    <xf numFmtId="0" fontId="797" fillId="0" borderId="0" xfId="0" applyFont="true" applyAlignment="true">
      <alignment horizontal="left" vertical="top"/>
    </xf>
    <xf numFmtId="0" fontId="798" fillId="0" borderId="0" xfId="0" applyNumberFormat="true" applyFont="true" applyAlignment="true">
      <alignment horizontal="right" vertical="center"/>
    </xf>
    <xf numFmtId="0" fontId="799" fillId="0" borderId="0" xfId="0" applyFont="true" applyAlignment="true">
      <alignment horizontal="left" vertical="top"/>
    </xf>
    <xf numFmtId="0" fontId="800" fillId="0" borderId="0" xfId="0" applyNumberFormat="true" applyFont="true" applyAlignment="true">
      <alignment horizontal="right" vertical="center"/>
    </xf>
    <xf numFmtId="0" fontId="801" fillId="0" borderId="0" xfId="0" applyFont="true" applyAlignment="true">
      <alignment horizontal="left" vertical="top"/>
    </xf>
    <xf numFmtId="0" fontId="802" fillId="0" borderId="0" xfId="0" applyNumberFormat="true" applyFont="true" applyAlignment="true">
      <alignment horizontal="right" vertical="center"/>
    </xf>
    <xf numFmtId="0" fontId="803" fillId="0" borderId="0" xfId="0" applyFont="true" applyAlignment="true">
      <alignment horizontal="left" vertical="top"/>
    </xf>
    <xf numFmtId="170" fontId="804" fillId="0" borderId="0" xfId="0" applyNumberFormat="true" applyFont="true" applyAlignment="true">
      <alignment horizontal="center" vertical="center"/>
    </xf>
    <xf numFmtId="0" fontId="805" fillId="0" borderId="0" xfId="0" applyFont="true" applyAlignment="true">
      <alignment horizontal="center" vertical="center"/>
    </xf>
    <xf numFmtId="0" fontId="806" fillId="0" borderId="0" xfId="0" applyFont="true" applyAlignment="true">
      <alignment horizontal="left" vertical="top"/>
    </xf>
    <xf numFmtId="0" fontId="807" fillId="0" borderId="0" xfId="0" applyFont="true" applyAlignment="true">
      <alignment horizontal="left" vertical="top"/>
    </xf>
    <xf numFmtId="0" fontId="808" fillId="0" borderId="0" xfId="0" applyNumberFormat="true" applyFont="true" applyAlignment="true">
      <alignment horizontal="right" vertical="center"/>
    </xf>
    <xf numFmtId="0" fontId="809" fillId="0" borderId="0" xfId="0" applyFont="true" applyAlignment="true">
      <alignment horizontal="left" vertical="top"/>
    </xf>
    <xf numFmtId="0" fontId="810" fillId="0" borderId="0" xfId="0" applyNumberFormat="true" applyFont="true" applyAlignment="true">
      <alignment horizontal="right" vertical="center"/>
    </xf>
    <xf numFmtId="0" fontId="811" fillId="0" borderId="0" xfId="0" applyFont="true" applyAlignment="true">
      <alignment horizontal="left" vertical="top"/>
    </xf>
    <xf numFmtId="0" fontId="812" fillId="0" borderId="0" xfId="0" applyNumberFormat="true" applyFont="true" applyAlignment="true">
      <alignment horizontal="right" vertical="center"/>
    </xf>
    <xf numFmtId="0" fontId="813" fillId="0" borderId="0" xfId="0" applyFont="true" applyAlignment="true">
      <alignment horizontal="left" vertical="top"/>
    </xf>
    <xf numFmtId="0" fontId="814" fillId="0" borderId="0" xfId="0" applyNumberFormat="true" applyFont="true" applyAlignment="true">
      <alignment horizontal="right" vertical="center"/>
    </xf>
    <xf numFmtId="0" fontId="815" fillId="0" borderId="0" xfId="0" applyFont="true" applyAlignment="true">
      <alignment horizontal="left" vertical="top"/>
    </xf>
    <xf numFmtId="170" fontId="816" fillId="0" borderId="0" xfId="0" applyNumberFormat="true" applyFont="true" applyAlignment="true">
      <alignment horizontal="center" vertical="center"/>
    </xf>
    <xf numFmtId="0" fontId="817" fillId="0" borderId="0" xfId="0" applyFont="true" applyAlignment="true">
      <alignment horizontal="center" vertical="center"/>
    </xf>
    <xf numFmtId="0" fontId="818" fillId="0" borderId="0" xfId="0" applyFont="true" applyAlignment="true">
      <alignment horizontal="left" vertical="top"/>
    </xf>
    <xf numFmtId="0" fontId="819" fillId="0" borderId="0" xfId="0" applyFont="true" applyAlignment="true">
      <alignment horizontal="left" vertical="top"/>
    </xf>
    <xf numFmtId="0" fontId="820" fillId="0" borderId="0" xfId="0" applyNumberFormat="true" applyFont="true" applyAlignment="true">
      <alignment horizontal="right" vertical="center"/>
    </xf>
    <xf numFmtId="0" fontId="821" fillId="0" borderId="0" xfId="0" applyFont="true" applyAlignment="true">
      <alignment horizontal="left" vertical="top"/>
    </xf>
    <xf numFmtId="0" fontId="822" fillId="0" borderId="0" xfId="0" applyNumberFormat="true" applyFont="true" applyAlignment="true">
      <alignment horizontal="right" vertical="center"/>
    </xf>
    <xf numFmtId="0" fontId="823" fillId="0" borderId="0" xfId="0" applyFont="true" applyAlignment="true">
      <alignment horizontal="left" vertical="top"/>
    </xf>
    <xf numFmtId="0" fontId="824" fillId="0" borderId="0" xfId="0" applyNumberFormat="true" applyFont="true" applyAlignment="true">
      <alignment horizontal="right" vertical="center"/>
    </xf>
    <xf numFmtId="0" fontId="825" fillId="0" borderId="0" xfId="0" applyFont="true" applyAlignment="true">
      <alignment horizontal="left" vertical="top"/>
    </xf>
    <xf numFmtId="0" fontId="826" fillId="0" borderId="0" xfId="0" applyNumberFormat="true" applyFont="true" applyAlignment="true">
      <alignment horizontal="right" vertical="center"/>
    </xf>
    <xf numFmtId="0" fontId="827" fillId="0" borderId="0" xfId="0" applyFont="true" applyAlignment="true">
      <alignment horizontal="left" vertical="top"/>
    </xf>
    <xf numFmtId="170" fontId="828" fillId="0" borderId="0" xfId="0" applyNumberFormat="true" applyFont="true" applyAlignment="true">
      <alignment horizontal="center" vertical="center"/>
    </xf>
    <xf numFmtId="0" fontId="829" fillId="0" borderId="0" xfId="0" applyFont="true"/>
    <xf numFmtId="0" fontId="830" fillId="0" borderId="0" xfId="0" applyFont="true" applyAlignment="true">
      <alignment horizontal="left" vertical="top"/>
    </xf>
    <xf numFmtId="0" fontId="831" fillId="0" borderId="0" xfId="0" applyFont="true" applyAlignment="true">
      <alignment horizontal="left" vertical="top"/>
    </xf>
    <xf numFmtId="0" fontId="832" fillId="0" borderId="0" xfId="0" applyNumberFormat="true" applyFont="true" applyAlignment="true">
      <alignment horizontal="right" vertical="center"/>
    </xf>
    <xf numFmtId="0" fontId="833" fillId="0" borderId="0" xfId="0" applyFont="true" applyAlignment="true">
      <alignment horizontal="left" vertical="top"/>
    </xf>
    <xf numFmtId="0" fontId="834" fillId="0" borderId="0" xfId="0" applyNumberFormat="true" applyFont="true" applyAlignment="true">
      <alignment horizontal="right" vertical="center"/>
    </xf>
    <xf numFmtId="0" fontId="835" fillId="0" borderId="0" xfId="0" applyFont="true" applyAlignment="true">
      <alignment horizontal="left" vertical="top"/>
    </xf>
    <xf numFmtId="0" fontId="836" fillId="0" borderId="0" xfId="0" applyNumberFormat="true" applyFont="true" applyAlignment="true">
      <alignment horizontal="right" vertical="center"/>
    </xf>
    <xf numFmtId="0" fontId="837" fillId="0" borderId="0" xfId="0" applyFont="true" applyAlignment="true">
      <alignment horizontal="left" vertical="top"/>
    </xf>
    <xf numFmtId="0" fontId="838" fillId="0" borderId="0" xfId="0" applyNumberFormat="true" applyFont="true" applyAlignment="true">
      <alignment horizontal="right" vertical="center"/>
    </xf>
    <xf numFmtId="0" fontId="839" fillId="0" borderId="0" xfId="0" applyFont="true" applyAlignment="true">
      <alignment horizontal="left" vertical="top"/>
    </xf>
    <xf numFmtId="170" fontId="840" fillId="0" borderId="0" xfId="0" applyNumberFormat="true" applyFont="true" applyAlignment="true">
      <alignment horizontal="center" vertical="center"/>
    </xf>
    <xf numFmtId="0" fontId="841" fillId="0" borderId="0" xfId="0" applyFont="true"/>
    <xf numFmtId="0" fontId="842" fillId="0" borderId="0" xfId="0" applyFont="true" applyAlignment="true">
      <alignment horizontal="left" vertical="top"/>
    </xf>
    <xf numFmtId="0" fontId="843" fillId="0" borderId="0" xfId="0" applyFont="true" applyAlignment="true">
      <alignment horizontal="left" vertical="top"/>
    </xf>
    <xf numFmtId="0" fontId="844" fillId="0" borderId="0" xfId="0" applyNumberFormat="true" applyFont="true" applyAlignment="true">
      <alignment horizontal="right" vertical="center"/>
    </xf>
    <xf numFmtId="0" fontId="845" fillId="0" borderId="0" xfId="0" applyFont="true" applyAlignment="true">
      <alignment horizontal="left" vertical="top"/>
    </xf>
    <xf numFmtId="0" fontId="846" fillId="0" borderId="0" xfId="0" applyNumberFormat="true" applyFont="true" applyAlignment="true">
      <alignment horizontal="right" vertical="center"/>
    </xf>
    <xf numFmtId="0" fontId="847" fillId="0" borderId="0" xfId="0" applyFont="true" applyAlignment="true">
      <alignment horizontal="left" vertical="top"/>
    </xf>
    <xf numFmtId="0" fontId="848" fillId="0" borderId="0" xfId="0" applyNumberFormat="true" applyFont="true" applyAlignment="true">
      <alignment horizontal="right" vertical="center"/>
    </xf>
    <xf numFmtId="0" fontId="849" fillId="0" borderId="0" xfId="0" applyFont="true" applyAlignment="true">
      <alignment horizontal="left" vertical="top"/>
    </xf>
    <xf numFmtId="0" fontId="850" fillId="0" borderId="0" xfId="0" applyNumberFormat="true" applyFont="true" applyAlignment="true">
      <alignment horizontal="right" vertical="center"/>
    </xf>
    <xf numFmtId="0" fontId="851" fillId="0" borderId="0" xfId="0" applyFont="true" applyAlignment="true">
      <alignment horizontal="left" vertical="top"/>
    </xf>
    <xf numFmtId="170" fontId="852" fillId="0" borderId="0" xfId="0" applyNumberFormat="true" applyFont="true" applyAlignment="true">
      <alignment horizontal="center" vertical="center"/>
    </xf>
    <xf numFmtId="0" fontId="853" fillId="0" borderId="0" xfId="0" applyFont="true" applyAlignment="true">
      <alignment horizontal="center" vertical="center"/>
    </xf>
    <xf numFmtId="0" fontId="854" fillId="0" borderId="0" xfId="0" applyFont="true" applyAlignment="true">
      <alignment horizontal="left" vertical="top"/>
    </xf>
    <xf numFmtId="0" fontId="855" fillId="0" borderId="0" xfId="0" applyFont="true" applyAlignment="true">
      <alignment horizontal="left" vertical="top"/>
    </xf>
    <xf numFmtId="0" fontId="856" fillId="0" borderId="0" xfId="0" applyNumberFormat="true" applyFont="true" applyAlignment="true">
      <alignment horizontal="right" vertical="center"/>
    </xf>
    <xf numFmtId="0" fontId="857" fillId="0" borderId="0" xfId="0" applyFont="true" applyAlignment="true">
      <alignment horizontal="left" vertical="top"/>
    </xf>
    <xf numFmtId="0" fontId="858" fillId="0" borderId="0" xfId="0" applyNumberFormat="true" applyFont="true" applyAlignment="true">
      <alignment horizontal="right" vertical="center"/>
    </xf>
    <xf numFmtId="0" fontId="859" fillId="0" borderId="0" xfId="0" applyFont="true" applyAlignment="true">
      <alignment horizontal="left" vertical="top"/>
    </xf>
    <xf numFmtId="0" fontId="860" fillId="0" borderId="0" xfId="0" applyNumberFormat="true" applyFont="true" applyAlignment="true">
      <alignment horizontal="right" vertical="center"/>
    </xf>
    <xf numFmtId="0" fontId="861" fillId="0" borderId="0" xfId="0" applyFont="true" applyAlignment="true">
      <alignment horizontal="left" vertical="top"/>
    </xf>
    <xf numFmtId="0" fontId="862" fillId="0" borderId="0" xfId="0" applyNumberFormat="true" applyFont="true" applyAlignment="true">
      <alignment horizontal="right" vertical="center"/>
    </xf>
    <xf numFmtId="0" fontId="863" fillId="0" borderId="0" xfId="0" applyFont="true" applyAlignment="true">
      <alignment horizontal="left" vertical="top"/>
    </xf>
    <xf numFmtId="170" fontId="864" fillId="0" borderId="0" xfId="0" applyNumberFormat="true" applyFont="true" applyAlignment="true">
      <alignment horizontal="center" vertical="center"/>
    </xf>
    <xf numFmtId="0" fontId="865" fillId="0" borderId="0" xfId="0" applyFont="true" applyAlignment="true">
      <alignment horizontal="center" vertical="center"/>
    </xf>
    <xf numFmtId="0" fontId="866" fillId="0" borderId="0" xfId="0" applyFont="true" applyAlignment="true">
      <alignment horizontal="left" vertical="top"/>
    </xf>
    <xf numFmtId="0" fontId="867" fillId="0" borderId="0" xfId="0" applyFont="true" applyAlignment="true">
      <alignment horizontal="left" vertical="top"/>
    </xf>
    <xf numFmtId="0" fontId="868" fillId="0" borderId="0" xfId="0" applyFont="true" applyAlignment="true">
      <alignment horizontal="left" vertical="top"/>
    </xf>
    <xf numFmtId="0" fontId="869" fillId="0" borderId="0" xfId="0" applyFont="true" applyAlignment="true">
      <alignment horizontal="left" vertical="top"/>
    </xf>
    <xf numFmtId="0" fontId="870" fillId="0" borderId="0" xfId="0" applyFont="true" applyAlignment="true">
      <alignment horizontal="left" vertical="top"/>
    </xf>
    <xf numFmtId="0" fontId="871" fillId="0" borderId="0" xfId="0" applyFont="true" applyAlignment="true">
      <alignment horizontal="left" vertical="top"/>
    </xf>
    <xf numFmtId="0" fontId="872" fillId="0" borderId="0" xfId="0" applyNumberFormat="true" applyFont="true" applyAlignment="true">
      <alignment horizontal="right" vertical="center"/>
    </xf>
    <xf numFmtId="0" fontId="873" fillId="0" borderId="0" xfId="0" applyFont="true" applyAlignment="true">
      <alignment horizontal="left" vertical="top"/>
    </xf>
    <xf numFmtId="0" fontId="874" fillId="0" borderId="0" xfId="0" applyFont="true" applyAlignment="true">
      <alignment horizontal="left" vertical="top"/>
    </xf>
    <xf numFmtId="0" fontId="875" fillId="0" borderId="0" xfId="0" applyFont="true" applyAlignment="true">
      <alignment horizontal="left" vertical="top"/>
    </xf>
    <xf numFmtId="0" fontId="876" fillId="0" borderId="0" xfId="0" applyFont="true" applyAlignment="true">
      <alignment horizontal="left" vertical="top"/>
    </xf>
    <xf numFmtId="0" fontId="877" fillId="0" borderId="0" xfId="0" applyFont="true"/>
    <xf numFmtId="0" fontId="878" fillId="0" borderId="0" xfId="0" applyFont="true" applyAlignment="true">
      <alignment horizontal="left" vertical="top"/>
    </xf>
    <xf numFmtId="0" fontId="879" fillId="0" borderId="0" xfId="0" applyFont="true" applyAlignment="true">
      <alignment horizontal="left" vertical="top"/>
    </xf>
    <xf numFmtId="0" fontId="880" fillId="0" borderId="0" xfId="0" applyNumberFormat="true" applyFont="true" applyAlignment="true">
      <alignment horizontal="left" vertical="center"/>
    </xf>
    <xf numFmtId="0" fontId="881" fillId="0" borderId="0" xfId="0" applyFont="true" applyAlignment="true">
      <alignment horizontal="left" vertical="top"/>
    </xf>
    <xf numFmtId="0" fontId="882" fillId="0" borderId="0" xfId="0" applyNumberFormat="true" applyFont="true" applyAlignment="true">
      <alignment horizontal="left" vertical="center"/>
    </xf>
    <xf numFmtId="0" fontId="883" fillId="0" borderId="0" xfId="0" applyFont="true" applyAlignment="true">
      <alignment horizontal="left" vertical="top"/>
    </xf>
    <xf numFmtId="0" fontId="884" fillId="0" borderId="0" xfId="0" applyNumberFormat="true" applyFont="true" applyAlignment="true">
      <alignment horizontal="left" vertical="center"/>
    </xf>
    <xf numFmtId="0" fontId="885" fillId="0" borderId="0" xfId="0" applyNumberFormat="true" applyFont="true" applyAlignment="true">
      <alignment horizontal="left" vertical="center"/>
    </xf>
    <xf numFmtId="0" fontId="886" fillId="0" borderId="0" xfId="0" applyFont="true" applyAlignment="true">
      <alignment horizontal="left" vertical="top"/>
    </xf>
    <xf numFmtId="0" fontId="887" fillId="0" borderId="0" xfId="0" applyNumberFormat="true" applyFont="true" applyAlignment="true">
      <alignment horizontal="left" vertical="center"/>
    </xf>
    <xf numFmtId="0" fontId="888" fillId="0" borderId="0" xfId="0" applyFont="true"/>
    <xf numFmtId="0" fontId="889" fillId="0" borderId="0" xfId="0" applyFont="true" applyAlignment="true">
      <alignment horizontal="left" vertical="top"/>
    </xf>
    <xf numFmtId="0" fontId="890" fillId="0" borderId="0" xfId="0" applyFont="true" applyAlignment="true">
      <alignment horizontal="left" vertical="top"/>
    </xf>
    <xf numFmtId="0" fontId="891" fillId="0" borderId="0" xfId="0" applyNumberFormat="true" applyFont="true" applyAlignment="true">
      <alignment horizontal="right" vertical="center"/>
    </xf>
    <xf numFmtId="0" fontId="892" fillId="0" borderId="0" xfId="0" applyFont="true" applyAlignment="true">
      <alignment horizontal="left" vertical="top"/>
    </xf>
    <xf numFmtId="0" fontId="893" fillId="0" borderId="0" xfId="0" applyNumberFormat="true" applyFont="true" applyAlignment="true">
      <alignment horizontal="right" vertical="center"/>
    </xf>
    <xf numFmtId="0" fontId="894" fillId="0" borderId="0" xfId="0" applyFont="true" applyAlignment="true">
      <alignment horizontal="left" vertical="top"/>
    </xf>
    <xf numFmtId="0" fontId="895" fillId="0" borderId="0" xfId="0" applyNumberFormat="true" applyFont="true" applyAlignment="true">
      <alignment horizontal="right" vertical="center"/>
    </xf>
    <xf numFmtId="0" fontId="896" fillId="0" borderId="0" xfId="0" applyNumberFormat="true" applyFont="true" applyAlignment="true">
      <alignment horizontal="right" vertical="center"/>
    </xf>
    <xf numFmtId="0" fontId="897" fillId="0" borderId="0" xfId="0" applyFont="true" applyAlignment="true">
      <alignment horizontal="left" vertical="top"/>
    </xf>
    <xf numFmtId="0" fontId="898" fillId="0" borderId="0" xfId="0" applyNumberFormat="true" applyFont="true" applyAlignment="true">
      <alignment horizontal="right" vertical="center"/>
    </xf>
    <xf numFmtId="0" fontId="899" fillId="0" borderId="0" xfId="0" applyFont="true"/>
    <xf numFmtId="0" fontId="900" fillId="0" borderId="0" xfId="0" applyFont="true" applyAlignment="true">
      <alignment horizontal="left" vertical="top"/>
    </xf>
    <xf numFmtId="0" fontId="901" fillId="0" borderId="0" xfId="0" applyFont="true" applyAlignment="true">
      <alignment horizontal="left" vertical="top"/>
    </xf>
    <xf numFmtId="0" fontId="902" fillId="0" borderId="0" xfId="0" applyNumberFormat="true" applyFont="true" applyAlignment="true">
      <alignment horizontal="right" vertical="center"/>
    </xf>
    <xf numFmtId="0" fontId="903" fillId="0" borderId="0" xfId="0" applyFont="true" applyAlignment="true">
      <alignment horizontal="left" vertical="top"/>
    </xf>
    <xf numFmtId="0" fontId="904" fillId="0" borderId="0" xfId="0" applyNumberFormat="true" applyFont="true" applyAlignment="true">
      <alignment horizontal="right" vertical="center"/>
    </xf>
    <xf numFmtId="0" fontId="905" fillId="0" borderId="0" xfId="0" applyFont="true" applyAlignment="true">
      <alignment horizontal="left" vertical="top"/>
    </xf>
    <xf numFmtId="0" fontId="906" fillId="0" borderId="0" xfId="0" applyNumberFormat="true" applyFont="true" applyAlignment="true">
      <alignment horizontal="right" vertical="center"/>
    </xf>
    <xf numFmtId="0" fontId="907" fillId="0" borderId="0" xfId="0" applyNumberFormat="true" applyFont="true" applyAlignment="true">
      <alignment horizontal="right" vertical="center"/>
    </xf>
    <xf numFmtId="0" fontId="908" fillId="0" borderId="0" xfId="0" applyFont="true" applyAlignment="true">
      <alignment horizontal="left" vertical="top"/>
    </xf>
    <xf numFmtId="0" fontId="909" fillId="0" borderId="0" xfId="0" applyNumberFormat="true" applyFont="true" applyAlignment="true">
      <alignment horizontal="right" vertical="center"/>
    </xf>
    <xf numFmtId="0" fontId="910" fillId="0" borderId="0" xfId="0" applyFont="true"/>
    <xf numFmtId="0" fontId="911" fillId="0" borderId="0" xfId="0" applyFont="true" applyAlignment="true">
      <alignment horizontal="left" vertical="top"/>
    </xf>
    <xf numFmtId="0" fontId="912" fillId="0" borderId="0" xfId="0" applyFont="true" applyAlignment="true">
      <alignment horizontal="left" vertical="top"/>
    </xf>
    <xf numFmtId="0" fontId="913" fillId="0" borderId="0" xfId="0" applyNumberFormat="true" applyFont="true" applyAlignment="true">
      <alignment horizontal="right" vertical="center"/>
    </xf>
    <xf numFmtId="0" fontId="914" fillId="0" borderId="0" xfId="0" applyFont="true" applyAlignment="true">
      <alignment horizontal="left" vertical="top"/>
    </xf>
    <xf numFmtId="0" fontId="915" fillId="0" borderId="0" xfId="0" applyNumberFormat="true" applyFont="true" applyAlignment="true">
      <alignment horizontal="right" vertical="center"/>
    </xf>
    <xf numFmtId="0" fontId="916" fillId="0" borderId="0" xfId="0" applyFont="true" applyAlignment="true">
      <alignment horizontal="left" vertical="top"/>
    </xf>
    <xf numFmtId="0" fontId="917" fillId="0" borderId="0" xfId="0" applyNumberFormat="true" applyFont="true" applyAlignment="true">
      <alignment horizontal="right" vertical="center"/>
    </xf>
    <xf numFmtId="0" fontId="918" fillId="0" borderId="0" xfId="0" applyNumberFormat="true" applyFont="true" applyAlignment="true">
      <alignment horizontal="right" vertical="center"/>
    </xf>
    <xf numFmtId="0" fontId="919" fillId="0" borderId="0" xfId="0" applyFont="true" applyAlignment="true">
      <alignment horizontal="left" vertical="top"/>
    </xf>
    <xf numFmtId="0" fontId="920" fillId="0" borderId="0" xfId="0" applyNumberFormat="true" applyFont="true" applyAlignment="true">
      <alignment horizontal="right" vertical="center"/>
    </xf>
    <xf numFmtId="0" fontId="921" fillId="0" borderId="0" xfId="0" applyFont="true"/>
    <xf numFmtId="0" fontId="922" fillId="0" borderId="0" xfId="0" applyFont="true" applyAlignment="true">
      <alignment horizontal="left" vertical="top"/>
    </xf>
    <xf numFmtId="0" fontId="923" fillId="0" borderId="0" xfId="0" applyFont="true" applyAlignment="true">
      <alignment horizontal="left" vertical="top"/>
    </xf>
    <xf numFmtId="0" fontId="924" fillId="0" borderId="0" xfId="0" applyNumberFormat="true" applyFont="true" applyAlignment="true">
      <alignment horizontal="right" vertical="center"/>
    </xf>
    <xf numFmtId="0" fontId="925" fillId="0" borderId="0" xfId="0" applyFont="true" applyAlignment="true">
      <alignment horizontal="left" vertical="top"/>
    </xf>
    <xf numFmtId="0" fontId="926" fillId="0" borderId="0" xfId="0" applyNumberFormat="true" applyFont="true" applyAlignment="true">
      <alignment horizontal="right" vertical="center"/>
    </xf>
    <xf numFmtId="0" fontId="927" fillId="0" borderId="0" xfId="0" applyFont="true" applyAlignment="true">
      <alignment horizontal="left" vertical="top"/>
    </xf>
    <xf numFmtId="0" fontId="928" fillId="0" borderId="0" xfId="0" applyNumberFormat="true" applyFont="true" applyAlignment="true">
      <alignment horizontal="right" vertical="center"/>
    </xf>
    <xf numFmtId="0" fontId="929" fillId="0" borderId="0" xfId="0" applyNumberFormat="true" applyFont="true" applyAlignment="true">
      <alignment horizontal="right" vertical="center"/>
    </xf>
    <xf numFmtId="0" fontId="930" fillId="0" borderId="0" xfId="0" applyFont="true" applyAlignment="true">
      <alignment horizontal="left" vertical="top"/>
    </xf>
    <xf numFmtId="0" fontId="931" fillId="0" borderId="0" xfId="0" applyNumberFormat="true" applyFont="true" applyAlignment="true">
      <alignment horizontal="right" vertical="center"/>
    </xf>
    <xf numFmtId="0" fontId="932" fillId="0" borderId="0" xfId="0" applyFont="true"/>
    <xf numFmtId="0" fontId="933" fillId="0" borderId="0" xfId="0" applyFont="true" applyAlignment="true">
      <alignment horizontal="left" vertical="top"/>
    </xf>
    <xf numFmtId="0" fontId="934" fillId="0" borderId="0" xfId="0" applyFont="true" applyAlignment="true">
      <alignment horizontal="left" vertical="top"/>
    </xf>
    <xf numFmtId="0" fontId="935" fillId="0" borderId="0" xfId="0" applyNumberFormat="true" applyFont="true" applyAlignment="true">
      <alignment horizontal="right" vertical="center"/>
    </xf>
    <xf numFmtId="0" fontId="936" fillId="0" borderId="0" xfId="0" applyFont="true" applyAlignment="true">
      <alignment horizontal="left" vertical="top"/>
    </xf>
    <xf numFmtId="0" fontId="937" fillId="0" borderId="0" xfId="0" applyNumberFormat="true" applyFont="true" applyAlignment="true">
      <alignment horizontal="right" vertical="center"/>
    </xf>
    <xf numFmtId="0" fontId="938" fillId="0" borderId="0" xfId="0" applyFont="true" applyAlignment="true">
      <alignment horizontal="left" vertical="top"/>
    </xf>
    <xf numFmtId="0" fontId="939" fillId="0" borderId="0" xfId="0" applyNumberFormat="true" applyFont="true" applyAlignment="true">
      <alignment horizontal="right" vertical="center"/>
    </xf>
    <xf numFmtId="0" fontId="940" fillId="0" borderId="0" xfId="0" applyNumberFormat="true" applyFont="true" applyAlignment="true">
      <alignment horizontal="right" vertical="center"/>
    </xf>
    <xf numFmtId="0" fontId="941" fillId="0" borderId="0" xfId="0" applyFont="true" applyAlignment="true">
      <alignment horizontal="left" vertical="top"/>
    </xf>
    <xf numFmtId="0" fontId="942" fillId="0" borderId="0" xfId="0" applyNumberFormat="true" applyFont="true" applyAlignment="true">
      <alignment horizontal="right" vertical="center"/>
    </xf>
    <xf numFmtId="0" fontId="943" fillId="0" borderId="0" xfId="0" applyFont="true"/>
    <xf numFmtId="0" fontId="944" fillId="0" borderId="0" xfId="0" applyFont="true" applyAlignment="true">
      <alignment horizontal="left" vertical="top"/>
    </xf>
    <xf numFmtId="0" fontId="945" fillId="0" borderId="0" xfId="0" applyFont="true" applyAlignment="true">
      <alignment horizontal="left" vertical="top"/>
    </xf>
    <xf numFmtId="0" fontId="946" fillId="0" borderId="0" xfId="0" applyNumberFormat="true" applyFont="true" applyAlignment="true">
      <alignment horizontal="right" vertical="center"/>
    </xf>
    <xf numFmtId="0" fontId="947" fillId="0" borderId="0" xfId="0" applyFont="true" applyAlignment="true">
      <alignment horizontal="left" vertical="top"/>
    </xf>
    <xf numFmtId="0" fontId="948" fillId="0" borderId="0" xfId="0" applyNumberFormat="true" applyFont="true" applyAlignment="true">
      <alignment horizontal="right" vertical="center"/>
    </xf>
    <xf numFmtId="0" fontId="949" fillId="0" borderId="0" xfId="0" applyFont="true" applyAlignment="true">
      <alignment horizontal="left" vertical="top"/>
    </xf>
    <xf numFmtId="0" fontId="950" fillId="0" borderId="0" xfId="0" applyNumberFormat="true" applyFont="true" applyAlignment="true">
      <alignment horizontal="right" vertical="center"/>
    </xf>
    <xf numFmtId="0" fontId="951" fillId="0" borderId="0" xfId="0" applyNumberFormat="true" applyFont="true" applyAlignment="true">
      <alignment horizontal="right" vertical="center"/>
    </xf>
    <xf numFmtId="0" fontId="952" fillId="0" borderId="0" xfId="0" applyFont="true" applyAlignment="true">
      <alignment horizontal="left" vertical="top"/>
    </xf>
    <xf numFmtId="0" fontId="953" fillId="0" borderId="0" xfId="0" applyNumberFormat="true" applyFont="true" applyAlignment="true">
      <alignment horizontal="right" vertical="center"/>
    </xf>
    <xf numFmtId="0" fontId="954" fillId="0" borderId="0" xfId="0" applyFont="true"/>
    <xf numFmtId="0" fontId="955" fillId="0" borderId="0" xfId="0" applyFont="true" applyAlignment="true">
      <alignment horizontal="left" vertical="top"/>
    </xf>
    <xf numFmtId="0" fontId="956" fillId="0" borderId="0" xfId="0" applyFont="true" applyAlignment="true">
      <alignment horizontal="left" vertical="top"/>
    </xf>
    <xf numFmtId="0" fontId="957" fillId="0" borderId="0" xfId="0" applyFont="true" applyAlignment="true">
      <alignment horizontal="left" vertical="top"/>
    </xf>
    <xf numFmtId="0" fontId="958" fillId="0" borderId="0" xfId="0" applyFont="true" applyAlignment="true">
      <alignment horizontal="left" vertical="top"/>
    </xf>
    <xf numFmtId="0" fontId="959" fillId="0" borderId="0" xfId="0" applyNumberFormat="true" applyFont="true" applyAlignment="true">
      <alignment horizontal="right" vertical="center"/>
    </xf>
    <xf numFmtId="0" fontId="960" fillId="0" borderId="0" xfId="0" applyFont="true" applyAlignment="true">
      <alignment horizontal="left" vertical="top"/>
    </xf>
    <xf numFmtId="0" fontId="961" fillId="0" borderId="0" xfId="0" applyFont="true" applyAlignment="true">
      <alignment horizontal="left" vertical="top"/>
    </xf>
    <xf numFmtId="0" fontId="962" fillId="0" borderId="0" xfId="0" applyFont="true" applyAlignment="true">
      <alignment horizontal="left" vertical="top"/>
    </xf>
    <xf numFmtId="0" fontId="963" fillId="0" borderId="0" xfId="0" applyFont="true" applyAlignment="true">
      <alignment horizontal="left" vertical="top"/>
    </xf>
    <xf numFmtId="0" fontId="964" fillId="0" borderId="0" xfId="0" applyFont="true" applyAlignment="true">
      <alignment horizontal="left" vertical="top"/>
    </xf>
    <xf numFmtId="0" fontId="965" fillId="0" borderId="0" xfId="0" applyFont="true" applyAlignment="true">
      <alignment horizontal="left" vertical="top"/>
    </xf>
    <xf numFmtId="0" fontId="966" fillId="0" borderId="0" xfId="0" applyFont="true" applyAlignment="true">
      <alignment horizontal="left" vertical="top"/>
    </xf>
    <xf numFmtId="0" fontId="967" fillId="0" borderId="0" xfId="0" applyFont="true" applyAlignment="true">
      <alignment horizontal="left" vertical="top"/>
    </xf>
    <xf numFmtId="0" fontId="968" fillId="0" borderId="0" xfId="0" applyFont="true" applyAlignment="true">
      <alignment horizontal="left" vertical="top"/>
    </xf>
    <xf numFmtId="0" fontId="969" fillId="0" borderId="0" xfId="0" applyFont="true" applyAlignment="true">
      <alignment horizontal="left" vertical="top"/>
    </xf>
    <xf numFmtId="0" fontId="970" fillId="0" borderId="0" xfId="0" applyFont="true" applyAlignment="true">
      <alignment horizontal="left" vertical="top"/>
    </xf>
    <xf numFmtId="0" fontId="971" fillId="0" borderId="0" xfId="0" applyFont="true" applyAlignment="true">
      <alignment horizontal="left" vertical="top"/>
    </xf>
    <xf numFmtId="0" fontId="972" fillId="0" borderId="0" xfId="0" applyFont="true" applyAlignment="true">
      <alignment horizontal="left" vertical="top"/>
    </xf>
    <xf numFmtId="0" fontId="973" fillId="0" borderId="0" xfId="0" applyFont="true" applyAlignment="true">
      <alignment horizontal="left" vertical="top"/>
    </xf>
    <xf numFmtId="0" fontId="974" fillId="0" borderId="0" xfId="0" applyFont="true" applyAlignment="true">
      <alignment horizontal="left" vertical="top"/>
    </xf>
    <xf numFmtId="0" fontId="975" fillId="0" borderId="0" xfId="0" applyFont="true" applyAlignment="true">
      <alignment horizontal="left" vertical="top"/>
    </xf>
    <xf numFmtId="0" fontId="976" fillId="0" borderId="0" xfId="0" applyFont="true" applyAlignment="true">
      <alignment horizontal="left" vertical="top"/>
    </xf>
    <xf numFmtId="0" fontId="977" fillId="0" borderId="0" xfId="0" applyFont="true" applyAlignment="true">
      <alignment horizontal="left" vertical="top"/>
    </xf>
    <xf numFmtId="0" fontId="978" fillId="0" borderId="0" xfId="0" applyFont="true" applyAlignment="true">
      <alignment horizontal="left" vertical="top"/>
    </xf>
    <xf numFmtId="0" fontId="979" fillId="0" borderId="0" xfId="0" applyFont="true" applyAlignment="true">
      <alignment horizontal="left" vertical="top"/>
    </xf>
    <xf numFmtId="0" fontId="980" fillId="0" borderId="0" xfId="0" applyFont="true" applyAlignment="true">
      <alignment horizontal="left" vertical="top"/>
    </xf>
    <xf numFmtId="0" fontId="981" fillId="0" borderId="0" xfId="0" applyNumberFormat="true" applyFont="true" applyAlignment="true">
      <alignment horizontal="left" vertical="center"/>
    </xf>
    <xf numFmtId="0" fontId="982" fillId="0" borderId="0" xfId="0" applyFont="true" applyAlignment="true">
      <alignment horizontal="left" vertical="center"/>
    </xf>
    <xf numFmtId="0" fontId="983" fillId="0" borderId="0" xfId="0" applyFont="true" applyAlignment="true">
      <alignment horizontal="left" vertical="center"/>
    </xf>
    <xf numFmtId="0" fontId="984" fillId="0" borderId="0" xfId="0" applyFont="true" applyAlignment="true">
      <alignment horizontal="left" vertical="center"/>
    </xf>
    <xf numFmtId="0" fontId="985" fillId="0" borderId="0" xfId="0" applyFont="true" applyAlignment="true">
      <alignment horizontal="left" vertical="center"/>
    </xf>
    <xf numFmtId="0" fontId="986" fillId="0" borderId="0" xfId="0" applyFont="true" applyAlignment="true">
      <alignment horizontal="left" vertical="center"/>
    </xf>
    <xf numFmtId="0" fontId="987" fillId="0" borderId="0" xfId="0" applyFont="true" applyAlignment="true">
      <alignment horizontal="left" vertical="center"/>
    </xf>
    <xf numFmtId="0" fontId="988" fillId="0" borderId="0" xfId="0" applyFont="true" applyAlignment="true">
      <alignment horizontal="left" vertical="center"/>
    </xf>
    <xf numFmtId="0" fontId="989" fillId="0" borderId="0" xfId="0" applyFont="true" applyAlignment="true">
      <alignment horizontal="left" vertical="center"/>
    </xf>
    <xf numFmtId="0" fontId="990" fillId="0" borderId="0" xfId="0" applyFont="true" applyAlignment="true">
      <alignment horizontal="left" vertical="center"/>
    </xf>
    <xf numFmtId="0" fontId="991" fillId="0" borderId="0" xfId="0" applyFont="true" applyAlignment="true">
      <alignment horizontal="left" vertical="top"/>
    </xf>
    <xf numFmtId="0" fontId="992" fillId="0" borderId="0" xfId="0" applyFont="true" applyAlignment="true">
      <alignment horizontal="left" vertical="top"/>
    </xf>
    <xf numFmtId="0" fontId="993" fillId="0" borderId="0" xfId="0" applyNumberFormat="true" applyFont="true" applyAlignment="true">
      <alignment horizontal="right" vertical="center"/>
    </xf>
    <xf numFmtId="0" fontId="994" fillId="0" borderId="0" xfId="0" applyNumberFormat="true" applyFont="true" applyAlignment="true">
      <alignment horizontal="right" vertical="center"/>
    </xf>
    <xf numFmtId="0" fontId="995" fillId="0" borderId="0" xfId="0" applyNumberFormat="true" applyFont="true" applyAlignment="true">
      <alignment horizontal="right" vertical="center"/>
    </xf>
    <xf numFmtId="0" fontId="996" fillId="0" borderId="0" xfId="0" applyNumberFormat="true" applyFont="true" applyAlignment="true">
      <alignment horizontal="right" vertical="center"/>
    </xf>
    <xf numFmtId="0" fontId="997" fillId="0" borderId="0" xfId="0" applyNumberFormat="true" applyFont="true" applyAlignment="true">
      <alignment horizontal="right" vertical="center"/>
    </xf>
    <xf numFmtId="0" fontId="998" fillId="0" borderId="0" xfId="0" applyNumberFormat="true" applyFont="true" applyAlignment="true">
      <alignment horizontal="right" vertical="center"/>
    </xf>
    <xf numFmtId="0" fontId="999" fillId="0" borderId="0" xfId="0" applyNumberFormat="true" applyFont="true" applyAlignment="true">
      <alignment horizontal="right" vertical="center"/>
    </xf>
    <xf numFmtId="0" fontId="1000" fillId="0" borderId="0" xfId="0" applyNumberFormat="true" applyFont="true" applyAlignment="true">
      <alignment horizontal="right" vertical="center"/>
    </xf>
    <xf numFmtId="0" fontId="1001" fillId="0" borderId="0" xfId="0" applyNumberFormat="true" applyFont="true" applyAlignment="true">
      <alignment horizontal="right" vertical="center"/>
    </xf>
    <xf numFmtId="0" fontId="1002" fillId="0" borderId="0" xfId="0" applyNumberFormat="true" applyFont="true" applyAlignment="true">
      <alignment horizontal="right" vertical="center"/>
    </xf>
    <xf numFmtId="0" fontId="1003" fillId="0" borderId="0" xfId="0" applyFont="true" applyAlignment="true">
      <alignment horizontal="left" vertical="top"/>
    </xf>
    <xf numFmtId="0" fontId="1004" fillId="0" borderId="0" xfId="0" applyFont="true" applyAlignment="true">
      <alignment horizontal="left" vertical="top"/>
    </xf>
    <xf numFmtId="0" fontId="1005" fillId="0" borderId="0" xfId="0" applyNumberFormat="true" applyFont="true" applyAlignment="true">
      <alignment horizontal="right" vertical="center"/>
    </xf>
    <xf numFmtId="0" fontId="1006" fillId="0" borderId="0" xfId="0" applyNumberFormat="true" applyFont="true" applyAlignment="true">
      <alignment horizontal="right" vertical="center"/>
    </xf>
    <xf numFmtId="0" fontId="1007" fillId="0" borderId="0" xfId="0" applyNumberFormat="true" applyFont="true" applyAlignment="true">
      <alignment horizontal="right" vertical="center"/>
    </xf>
    <xf numFmtId="0" fontId="1008" fillId="0" borderId="0" xfId="0" applyNumberFormat="true" applyFont="true" applyAlignment="true">
      <alignment horizontal="right" vertical="center"/>
    </xf>
    <xf numFmtId="0" fontId="1009" fillId="0" borderId="0" xfId="0" applyNumberFormat="true" applyFont="true" applyAlignment="true">
      <alignment horizontal="right" vertical="center"/>
    </xf>
    <xf numFmtId="0" fontId="1010" fillId="0" borderId="0" xfId="0" applyNumberFormat="true" applyFont="true" applyAlignment="true">
      <alignment horizontal="right" vertical="center"/>
    </xf>
    <xf numFmtId="0" fontId="1011" fillId="0" borderId="0" xfId="0" applyNumberFormat="true" applyFont="true" applyAlignment="true">
      <alignment horizontal="right" vertical="center"/>
    </xf>
    <xf numFmtId="0" fontId="1012" fillId="0" borderId="0" xfId="0" applyNumberFormat="true" applyFont="true" applyAlignment="true">
      <alignment horizontal="right" vertical="center"/>
    </xf>
    <xf numFmtId="0" fontId="1013" fillId="0" borderId="0" xfId="0" applyNumberFormat="true" applyFont="true" applyAlignment="true">
      <alignment horizontal="right" vertical="center"/>
    </xf>
    <xf numFmtId="0" fontId="1014" fillId="0" borderId="0" xfId="0" applyNumberFormat="true" applyFont="true" applyAlignment="true">
      <alignment horizontal="right" vertical="center"/>
    </xf>
    <xf numFmtId="0" fontId="1015" fillId="0" borderId="0" xfId="0" applyFont="true" applyAlignment="true">
      <alignment horizontal="left" vertical="top"/>
    </xf>
    <xf numFmtId="0" fontId="1016" fillId="0" borderId="0" xfId="0" applyFont="true" applyAlignment="true">
      <alignment horizontal="left" vertical="top"/>
    </xf>
    <xf numFmtId="0" fontId="1017" fillId="0" borderId="0" xfId="0" applyNumberFormat="true" applyFont="true" applyAlignment="true">
      <alignment horizontal="right" vertical="center"/>
    </xf>
    <xf numFmtId="0" fontId="1018" fillId="0" borderId="0" xfId="0" applyNumberFormat="true" applyFont="true" applyAlignment="true">
      <alignment horizontal="right" vertical="center"/>
    </xf>
    <xf numFmtId="0" fontId="1019" fillId="0" borderId="0" xfId="0" applyNumberFormat="true" applyFont="true" applyAlignment="true">
      <alignment horizontal="right" vertical="center"/>
    </xf>
    <xf numFmtId="0" fontId="1020" fillId="0" borderId="0" xfId="0" applyNumberFormat="true" applyFont="true" applyAlignment="true">
      <alignment horizontal="right" vertical="center"/>
    </xf>
    <xf numFmtId="0" fontId="1021" fillId="0" borderId="0" xfId="0" applyNumberFormat="true" applyFont="true" applyAlignment="true">
      <alignment horizontal="right" vertical="center"/>
    </xf>
    <xf numFmtId="0" fontId="1022" fillId="0" borderId="0" xfId="0" applyNumberFormat="true" applyFont="true" applyAlignment="true">
      <alignment horizontal="right" vertical="center"/>
    </xf>
    <xf numFmtId="0" fontId="1023" fillId="0" borderId="0" xfId="0" applyNumberFormat="true" applyFont="true" applyAlignment="true">
      <alignment horizontal="right" vertical="center"/>
    </xf>
    <xf numFmtId="0" fontId="1024" fillId="0" borderId="0" xfId="0" applyNumberFormat="true" applyFont="true" applyAlignment="true">
      <alignment horizontal="right" vertical="center"/>
    </xf>
    <xf numFmtId="0" fontId="1025" fillId="0" borderId="0" xfId="0" applyNumberFormat="true" applyFont="true" applyAlignment="true">
      <alignment horizontal="right" vertical="center"/>
    </xf>
    <xf numFmtId="0" fontId="1026" fillId="0" borderId="0" xfId="0" applyNumberFormat="true" applyFont="true" applyAlignment="true">
      <alignment horizontal="right" vertical="center"/>
    </xf>
    <xf numFmtId="0" fontId="1027" fillId="0" borderId="0" xfId="0" applyFont="true" applyAlignment="true">
      <alignment horizontal="left" vertical="top"/>
    </xf>
    <xf numFmtId="0" fontId="1028" fillId="0" borderId="0" xfId="0" applyFont="true" applyAlignment="true">
      <alignment horizontal="left" vertical="top"/>
    </xf>
    <xf numFmtId="0" fontId="1029" fillId="0" borderId="0" xfId="0" applyNumberFormat="true" applyFont="true" applyAlignment="true">
      <alignment horizontal="right" vertical="center"/>
    </xf>
    <xf numFmtId="0" fontId="1030" fillId="0" borderId="0" xfId="0" applyNumberFormat="true" applyFont="true" applyAlignment="true">
      <alignment horizontal="right" vertical="center"/>
    </xf>
    <xf numFmtId="0" fontId="1031" fillId="0" borderId="0" xfId="0" applyNumberFormat="true" applyFont="true" applyAlignment="true">
      <alignment horizontal="right" vertical="center"/>
    </xf>
    <xf numFmtId="0" fontId="1032" fillId="0" borderId="0" xfId="0" applyNumberFormat="true" applyFont="true" applyAlignment="true">
      <alignment horizontal="right" vertical="center"/>
    </xf>
    <xf numFmtId="0" fontId="1033" fillId="0" borderId="0" xfId="0" applyNumberFormat="true" applyFont="true" applyAlignment="true">
      <alignment horizontal="right" vertical="center"/>
    </xf>
    <xf numFmtId="0" fontId="1034" fillId="0" borderId="0" xfId="0" applyNumberFormat="true" applyFont="true" applyAlignment="true">
      <alignment horizontal="right" vertical="center"/>
    </xf>
    <xf numFmtId="0" fontId="1035" fillId="0" borderId="0" xfId="0" applyNumberFormat="true" applyFont="true" applyAlignment="true">
      <alignment horizontal="right" vertical="center"/>
    </xf>
    <xf numFmtId="0" fontId="1036" fillId="0" borderId="0" xfId="0" applyNumberFormat="true" applyFont="true" applyAlignment="true">
      <alignment horizontal="right" vertical="center"/>
    </xf>
    <xf numFmtId="0" fontId="1037" fillId="0" borderId="0" xfId="0" applyNumberFormat="true" applyFont="true" applyAlignment="true">
      <alignment horizontal="right" vertical="center"/>
    </xf>
    <xf numFmtId="0" fontId="1038" fillId="0" borderId="0" xfId="0" applyNumberFormat="true" applyFont="true" applyAlignment="true">
      <alignment horizontal="right" vertical="center"/>
    </xf>
    <xf numFmtId="0" fontId="1039" fillId="0" borderId="0" xfId="0" applyFont="true" applyAlignment="true">
      <alignment horizontal="left" vertical="top"/>
    </xf>
    <xf numFmtId="0" fontId="1040" fillId="0" borderId="0" xfId="0" applyFont="true" applyAlignment="true">
      <alignment horizontal="left" vertical="top"/>
    </xf>
    <xf numFmtId="0" fontId="1041" fillId="0" borderId="0" xfId="0" applyNumberFormat="true" applyFont="true" applyAlignment="true">
      <alignment horizontal="right" vertical="center"/>
    </xf>
    <xf numFmtId="0" fontId="1042" fillId="0" borderId="0" xfId="0" applyNumberFormat="true" applyFont="true" applyAlignment="true">
      <alignment horizontal="right" vertical="center"/>
    </xf>
    <xf numFmtId="0" fontId="1043" fillId="0" borderId="0" xfId="0" applyNumberFormat="true" applyFont="true" applyAlignment="true">
      <alignment horizontal="right" vertical="center"/>
    </xf>
    <xf numFmtId="0" fontId="1044" fillId="0" borderId="0" xfId="0" applyNumberFormat="true" applyFont="true" applyAlignment="true">
      <alignment horizontal="right" vertical="center"/>
    </xf>
    <xf numFmtId="0" fontId="1045" fillId="0" borderId="0" xfId="0" applyNumberFormat="true" applyFont="true" applyAlignment="true">
      <alignment horizontal="right" vertical="center"/>
    </xf>
    <xf numFmtId="0" fontId="1046" fillId="0" borderId="0" xfId="0" applyNumberFormat="true" applyFont="true" applyAlignment="true">
      <alignment horizontal="right" vertical="center"/>
    </xf>
    <xf numFmtId="0" fontId="1047" fillId="0" borderId="0" xfId="0" applyNumberFormat="true" applyFont="true" applyAlignment="true">
      <alignment horizontal="right" vertical="center"/>
    </xf>
    <xf numFmtId="0" fontId="1048" fillId="0" borderId="0" xfId="0" applyNumberFormat="true" applyFont="true" applyAlignment="true">
      <alignment horizontal="right" vertical="center"/>
    </xf>
    <xf numFmtId="0" fontId="1049" fillId="0" borderId="0" xfId="0" applyNumberFormat="true" applyFont="true" applyAlignment="true">
      <alignment horizontal="right" vertical="center"/>
    </xf>
    <xf numFmtId="0" fontId="1050" fillId="0" borderId="0" xfId="0" applyNumberFormat="true" applyFont="true" applyAlignment="true">
      <alignment horizontal="right" vertical="center"/>
    </xf>
    <xf numFmtId="0" fontId="1051" fillId="0" borderId="0" xfId="0" applyFont="true" applyAlignment="true">
      <alignment horizontal="left" vertical="top"/>
    </xf>
    <xf numFmtId="0" fontId="1052" fillId="0" borderId="0" xfId="0" applyFont="true" applyAlignment="true">
      <alignment horizontal="left" vertical="top"/>
    </xf>
    <xf numFmtId="0" fontId="1053" fillId="0" borderId="0" xfId="0" applyFont="true" applyAlignment="true">
      <alignment horizontal="left" vertical="top"/>
    </xf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 applyAlignment="true">
      <alignment horizontal="left" vertical="top"/>
    </xf>
    <xf numFmtId="0" fontId="1064" fillId="0" borderId="0" xfId="0" applyFont="true" applyAlignment="true">
      <alignment horizontal="left" vertical="top"/>
    </xf>
    <xf numFmtId="0" fontId="1065" fillId="0" borderId="0" xfId="0" applyNumberFormat="true" applyFont="true" applyAlignment="true">
      <alignment horizontal="right" vertical="center"/>
    </xf>
    <xf numFmtId="0" fontId="1066" fillId="0" borderId="0" xfId="0" applyNumberFormat="true" applyFont="true" applyAlignment="true">
      <alignment horizontal="right" vertical="center"/>
    </xf>
    <xf numFmtId="0" fontId="1067" fillId="0" borderId="0" xfId="0" applyNumberFormat="true" applyFont="true" applyAlignment="true">
      <alignment horizontal="right" vertical="center"/>
    </xf>
    <xf numFmtId="0" fontId="1068" fillId="0" borderId="0" xfId="0" applyNumberFormat="true" applyFont="true" applyAlignment="true">
      <alignment horizontal="right" vertical="center"/>
    </xf>
    <xf numFmtId="0" fontId="1069" fillId="0" borderId="0" xfId="0" applyNumberFormat="true" applyFont="true" applyAlignment="true">
      <alignment horizontal="right" vertical="center"/>
    </xf>
    <xf numFmtId="0" fontId="1070" fillId="0" borderId="0" xfId="0" applyNumberFormat="true" applyFont="true" applyAlignment="true">
      <alignment horizontal="right" vertical="center"/>
    </xf>
    <xf numFmtId="0" fontId="1071" fillId="0" borderId="0" xfId="0" applyNumberFormat="true" applyFont="true" applyAlignment="true">
      <alignment horizontal="right" vertical="center"/>
    </xf>
    <xf numFmtId="0" fontId="1072" fillId="0" borderId="0" xfId="0" applyNumberFormat="true" applyFont="true" applyAlignment="true">
      <alignment horizontal="right" vertical="center"/>
    </xf>
    <xf numFmtId="0" fontId="1073" fillId="0" borderId="0" xfId="0" applyNumberFormat="true" applyFont="true" applyAlignment="true">
      <alignment horizontal="right" vertical="center"/>
    </xf>
    <xf numFmtId="0" fontId="1074" fillId="0" borderId="0" xfId="0" applyNumberFormat="true" applyFont="true" applyAlignment="true">
      <alignment horizontal="right" vertical="center"/>
    </xf>
    <xf numFmtId="0" fontId="1075" fillId="0" borderId="0" xfId="0" applyFont="true" applyAlignment="true">
      <alignment horizontal="left" vertical="top"/>
    </xf>
    <xf numFmtId="0" fontId="1076" fillId="0" borderId="0" xfId="0" applyFont="true" applyAlignment="true">
      <alignment horizontal="left" vertical="top"/>
    </xf>
    <xf numFmtId="0" fontId="1077" fillId="0" borderId="0" xfId="0" applyNumberFormat="true" applyFont="true" applyAlignment="true">
      <alignment horizontal="right" vertical="center"/>
    </xf>
    <xf numFmtId="0" fontId="1078" fillId="0" borderId="0" xfId="0" applyNumberFormat="true" applyFont="true" applyAlignment="true">
      <alignment horizontal="right" vertical="center"/>
    </xf>
    <xf numFmtId="0" fontId="1079" fillId="0" borderId="0" xfId="0" applyNumberFormat="true" applyFont="true" applyAlignment="true">
      <alignment horizontal="right" vertical="center"/>
    </xf>
    <xf numFmtId="0" fontId="1080" fillId="0" borderId="0" xfId="0" applyNumberFormat="true" applyFont="true" applyAlignment="true">
      <alignment horizontal="right" vertical="center"/>
    </xf>
    <xf numFmtId="0" fontId="1081" fillId="0" borderId="0" xfId="0" applyNumberFormat="true" applyFont="true" applyAlignment="true">
      <alignment horizontal="right" vertical="center"/>
    </xf>
    <xf numFmtId="0" fontId="1082" fillId="0" borderId="0" xfId="0" applyNumberFormat="true" applyFont="true" applyAlignment="true">
      <alignment horizontal="right" vertical="center"/>
    </xf>
    <xf numFmtId="0" fontId="1083" fillId="0" borderId="0" xfId="0" applyNumberFormat="true" applyFont="true" applyAlignment="true">
      <alignment horizontal="right" vertical="center"/>
    </xf>
    <xf numFmtId="0" fontId="1084" fillId="0" borderId="0" xfId="0" applyNumberFormat="true" applyFont="true" applyAlignment="true">
      <alignment horizontal="right" vertical="center"/>
    </xf>
    <xf numFmtId="0" fontId="1085" fillId="0" borderId="0" xfId="0" applyNumberFormat="true" applyFont="true" applyAlignment="true">
      <alignment horizontal="right" vertical="center"/>
    </xf>
    <xf numFmtId="0" fontId="1086" fillId="0" borderId="0" xfId="0" applyNumberFormat="true" applyFont="true" applyAlignment="true">
      <alignment horizontal="right" vertical="center"/>
    </xf>
    <xf numFmtId="0" fontId="1087" fillId="0" borderId="0" xfId="0" applyFont="true" applyAlignment="true">
      <alignment horizontal="left" vertical="top"/>
    </xf>
    <xf numFmtId="0" fontId="1088" fillId="0" borderId="0" xfId="0" applyFont="true" applyAlignment="true">
      <alignment horizontal="left" vertical="top"/>
    </xf>
    <xf numFmtId="0" fontId="1089" fillId="0" borderId="0" xfId="0" applyNumberFormat="true" applyFont="true" applyAlignment="true">
      <alignment horizontal="right" vertical="center"/>
    </xf>
    <xf numFmtId="0" fontId="1090" fillId="0" borderId="0" xfId="0" applyNumberFormat="true" applyFont="true" applyAlignment="true">
      <alignment horizontal="right" vertical="center"/>
    </xf>
    <xf numFmtId="0" fontId="1091" fillId="0" borderId="0" xfId="0" applyNumberFormat="true" applyFont="true" applyAlignment="true">
      <alignment horizontal="right" vertical="center"/>
    </xf>
    <xf numFmtId="0" fontId="1092" fillId="0" borderId="0" xfId="0" applyNumberFormat="true" applyFont="true" applyAlignment="true">
      <alignment horizontal="right" vertical="center"/>
    </xf>
    <xf numFmtId="0" fontId="1093" fillId="0" borderId="0" xfId="0" applyNumberFormat="true" applyFont="true" applyAlignment="true">
      <alignment horizontal="right" vertical="center"/>
    </xf>
    <xf numFmtId="0" fontId="1094" fillId="0" borderId="0" xfId="0" applyNumberFormat="true" applyFont="true" applyAlignment="true">
      <alignment horizontal="right" vertical="center"/>
    </xf>
    <xf numFmtId="0" fontId="1095" fillId="0" borderId="0" xfId="0" applyNumberFormat="true" applyFont="true" applyAlignment="true">
      <alignment horizontal="right" vertical="center"/>
    </xf>
    <xf numFmtId="0" fontId="1096" fillId="0" borderId="0" xfId="0" applyNumberFormat="true" applyFont="true" applyAlignment="true">
      <alignment horizontal="right" vertical="center"/>
    </xf>
    <xf numFmtId="0" fontId="1097" fillId="0" borderId="0" xfId="0" applyNumberFormat="true" applyFont="true" applyAlignment="true">
      <alignment horizontal="right" vertical="center"/>
    </xf>
    <xf numFmtId="0" fontId="1098" fillId="0" borderId="0" xfId="0" applyNumberFormat="true" applyFont="true" applyAlignment="true">
      <alignment horizontal="right" vertical="center"/>
    </xf>
    <xf numFmtId="0" fontId="1099" fillId="0" borderId="0" xfId="0" applyFont="true" applyAlignment="true">
      <alignment horizontal="left" vertical="top"/>
    </xf>
    <xf numFmtId="0" fontId="1100" fillId="0" borderId="0" xfId="0" applyFont="true" applyAlignment="true">
      <alignment horizontal="left" vertical="top"/>
    </xf>
    <xf numFmtId="0" fontId="1101" fillId="0" borderId="0" xfId="0" applyNumberFormat="true" applyFont="true" applyAlignment="true">
      <alignment horizontal="right" vertical="center"/>
    </xf>
    <xf numFmtId="0" fontId="1102" fillId="0" borderId="0" xfId="0" applyNumberFormat="true" applyFont="true" applyAlignment="true">
      <alignment horizontal="right" vertical="center"/>
    </xf>
    <xf numFmtId="0" fontId="1103" fillId="0" borderId="0" xfId="0" applyNumberFormat="true" applyFont="true" applyAlignment="true">
      <alignment horizontal="right" vertical="center"/>
    </xf>
    <xf numFmtId="0" fontId="1104" fillId="0" borderId="0" xfId="0" applyNumberFormat="true" applyFont="true" applyAlignment="true">
      <alignment horizontal="right" vertical="center"/>
    </xf>
    <xf numFmtId="0" fontId="1105" fillId="0" borderId="0" xfId="0" applyNumberFormat="true" applyFont="true" applyAlignment="true">
      <alignment horizontal="right" vertical="center"/>
    </xf>
    <xf numFmtId="0" fontId="1106" fillId="0" borderId="0" xfId="0" applyNumberFormat="true" applyFont="true" applyAlignment="true">
      <alignment horizontal="right" vertical="center"/>
    </xf>
    <xf numFmtId="0" fontId="1107" fillId="0" borderId="0" xfId="0" applyNumberFormat="true" applyFont="true" applyAlignment="true">
      <alignment horizontal="right" vertical="center"/>
    </xf>
    <xf numFmtId="0" fontId="1108" fillId="0" borderId="0" xfId="0" applyNumberFormat="true" applyFont="true" applyAlignment="true">
      <alignment horizontal="right" vertical="center"/>
    </xf>
    <xf numFmtId="0" fontId="1109" fillId="0" borderId="0" xfId="0" applyNumberFormat="true" applyFont="true" applyAlignment="true">
      <alignment horizontal="right" vertical="center"/>
    </xf>
    <xf numFmtId="0" fontId="1110" fillId="0" borderId="0" xfId="0" applyNumberFormat="true" applyFont="true" applyAlignment="true">
      <alignment horizontal="right" vertical="center"/>
    </xf>
    <xf numFmtId="0" fontId="1111" fillId="0" borderId="0" xfId="0" applyFont="true" applyAlignment="true">
      <alignment horizontal="left" vertical="top"/>
    </xf>
    <xf numFmtId="0" fontId="1112" fillId="0" borderId="0" xfId="0" applyFont="true" applyAlignment="true">
      <alignment horizontal="left" vertical="top"/>
    </xf>
    <xf numFmtId="0" fontId="1113" fillId="0" borderId="0" xfId="0" applyNumberFormat="true" applyFont="true" applyAlignment="true">
      <alignment horizontal="right" vertical="center"/>
    </xf>
    <xf numFmtId="0" fontId="1114" fillId="0" borderId="0" xfId="0" applyNumberFormat="true" applyFont="true" applyAlignment="true">
      <alignment horizontal="right" vertical="center"/>
    </xf>
    <xf numFmtId="0" fontId="1115" fillId="0" borderId="0" xfId="0" applyNumberFormat="true" applyFont="true" applyAlignment="true">
      <alignment horizontal="right" vertical="center"/>
    </xf>
    <xf numFmtId="0" fontId="1116" fillId="0" borderId="0" xfId="0" applyNumberFormat="true" applyFont="true" applyAlignment="true">
      <alignment horizontal="right" vertical="center"/>
    </xf>
    <xf numFmtId="0" fontId="1117" fillId="0" borderId="0" xfId="0" applyNumberFormat="true" applyFont="true" applyAlignment="true">
      <alignment horizontal="right" vertical="center"/>
    </xf>
    <xf numFmtId="0" fontId="1118" fillId="0" borderId="0" xfId="0" applyNumberFormat="true" applyFont="true" applyAlignment="true">
      <alignment horizontal="right" vertical="center"/>
    </xf>
    <xf numFmtId="0" fontId="1119" fillId="0" borderId="0" xfId="0" applyNumberFormat="true" applyFont="true" applyAlignment="true">
      <alignment horizontal="right" vertical="center"/>
    </xf>
    <xf numFmtId="0" fontId="1120" fillId="0" borderId="0" xfId="0" applyNumberFormat="true" applyFont="true" applyAlignment="true">
      <alignment horizontal="right" vertical="center"/>
    </xf>
    <xf numFmtId="0" fontId="1121" fillId="0" borderId="0" xfId="0" applyNumberFormat="true" applyFont="true" applyAlignment="true">
      <alignment horizontal="right" vertical="center"/>
    </xf>
    <xf numFmtId="0" fontId="1122" fillId="0" borderId="0" xfId="0" applyNumberFormat="true" applyFont="true" applyAlignment="true">
      <alignment horizontal="right" vertical="center"/>
    </xf>
    <xf numFmtId="0" fontId="1123" fillId="0" borderId="0" xfId="0" applyNumberFormat="true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NumberFormat="true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NumberFormat="true" applyFont="true"/>
    <xf numFmtId="0" fontId="1134" fillId="0" borderId="0" xfId="0" applyNumberFormat="true" applyFont="true"/>
    <xf numFmtId="0" fontId="1135" fillId="0" borderId="0" xfId="0" applyNumberFormat="true" applyFont="true"/>
    <xf numFmtId="0" fontId="1136" fillId="0" borderId="0" xfId="0" applyNumberFormat="true" applyFont="true"/>
    <xf numFmtId="0" fontId="1137" fillId="0" borderId="0" xfId="0" applyNumberFormat="true" applyFont="true"/>
    <xf numFmtId="0" fontId="1138" fillId="0" borderId="0" xfId="0" applyNumberFormat="true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NumberFormat="true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NumberFormat="true" applyFont="true"/>
    <xf numFmtId="0" fontId="1149" fillId="0" borderId="0" xfId="0" applyNumberFormat="true" applyFont="true"/>
    <xf numFmtId="0" fontId="1150" fillId="0" borderId="0" xfId="0" applyNumberFormat="true" applyFont="true"/>
    <xf numFmtId="0" fontId="1151" fillId="0" borderId="0" xfId="0" applyNumberFormat="true" applyFont="true"/>
    <xf numFmtId="0" fontId="1152" fillId="0" borderId="0" xfId="0" applyNumberFormat="true" applyFont="true"/>
    <xf numFmtId="0" fontId="1153" fillId="0" borderId="0" xfId="0" applyNumberFormat="true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NumberFormat="true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NumberFormat="true" applyFont="true"/>
    <xf numFmtId="0" fontId="1164" fillId="0" borderId="0" xfId="0" applyNumberFormat="true" applyFont="true"/>
    <xf numFmtId="0" fontId="1165" fillId="0" borderId="0" xfId="0" applyNumberFormat="true" applyFont="true"/>
    <xf numFmtId="0" fontId="1166" fillId="0" borderId="0" xfId="0" applyNumberFormat="true" applyFont="true"/>
    <xf numFmtId="0" fontId="1167" fillId="0" borderId="0" xfId="0" applyNumberFormat="true" applyFont="true"/>
    <xf numFmtId="0" fontId="1168" fillId="0" borderId="0" xfId="0" applyNumberFormat="true" applyFont="true"/>
    <xf numFmtId="0" fontId="1169" fillId="0" borderId="0" xfId="0" applyNumberFormat="true" applyFont="true"/>
    <xf numFmtId="0" fontId="1170" fillId="0" borderId="0" xfId="0" applyNumberFormat="true" applyFont="true"/>
    <xf numFmtId="0" fontId="1171" fillId="0" borderId="0" xfId="0" applyNumberFormat="true" applyFont="true"/>
    <xf numFmtId="0" fontId="1172" fillId="0" borderId="0" xfId="0" applyNumberFormat="true" applyFont="true"/>
    <xf numFmtId="0" fontId="1173" fillId="0" borderId="0" xfId="0" applyNumberFormat="true" applyFont="true"/>
    <xf numFmtId="0" fontId="1174" fillId="0" borderId="0" xfId="0" applyNumberFormat="true" applyFont="true"/>
    <xf numFmtId="0" fontId="1175" fillId="0" borderId="0" xfId="0" applyNumberFormat="true" applyFont="true"/>
    <xf numFmtId="0" fontId="1176" fillId="0" borderId="0" xfId="0" applyNumberFormat="true" applyFont="true"/>
    <xf numFmtId="0" fontId="1177" fillId="0" borderId="0" xfId="0" applyNumberFormat="true" applyFont="true"/>
    <xf numFmtId="0" fontId="1178" fillId="0" borderId="0" xfId="0" applyNumberFormat="true" applyFont="true"/>
    <xf numFmtId="0" fontId="1179" fillId="0" borderId="0" xfId="0" applyNumberFormat="true" applyFont="true"/>
    <xf numFmtId="0" fontId="1180" fillId="0" borderId="0" xfId="0" applyNumberFormat="true" applyFont="true"/>
    <xf numFmtId="0" fontId="1181" fillId="0" borderId="0" xfId="0" applyNumberFormat="true" applyFont="true"/>
    <xf numFmtId="0" fontId="1182" fillId="0" borderId="0" xfId="0" applyNumberFormat="true" applyFont="true"/>
    <xf numFmtId="0" fontId="1183" fillId="0" borderId="0" xfId="0" applyNumberFormat="true" applyFont="true"/>
    <xf numFmtId="0" fontId="1184" fillId="0" borderId="0" xfId="0" applyNumberFormat="true" applyFont="true"/>
    <xf numFmtId="0" fontId="1185" fillId="0" borderId="0" xfId="0" applyNumberFormat="true" applyFont="true"/>
    <xf numFmtId="0" fontId="1186" fillId="0" borderId="0" xfId="0" applyNumberFormat="true" applyFont="true"/>
    <xf numFmtId="0" fontId="1187" fillId="0" borderId="0" xfId="0" applyNumberFormat="true" applyFont="true"/>
    <xf numFmtId="0" fontId="1188" fillId="0" borderId="0" xfId="0" applyNumberFormat="true" applyFont="true"/>
    <xf numFmtId="0" fontId="1189" fillId="0" borderId="0" xfId="0" applyNumberFormat="true" applyFont="true"/>
    <xf numFmtId="0" fontId="1190" fillId="0" borderId="0" xfId="0" applyNumberFormat="true" applyFont="true"/>
    <xf numFmtId="0" fontId="1191" fillId="0" borderId="0" xfId="0" applyNumberFormat="true" applyFont="true"/>
    <xf numFmtId="0" fontId="1192" fillId="0" borderId="0" xfId="0" applyNumberFormat="true" applyFont="true"/>
    <xf numFmtId="0" fontId="1193" fillId="0" borderId="0" xfId="0" applyNumberFormat="true" applyFont="true"/>
    <xf numFmtId="0" fontId="1194" fillId="0" borderId="0" xfId="0" applyNumberFormat="true" applyFont="true"/>
    <xf numFmtId="0" fontId="1195" fillId="0" borderId="0" xfId="0" applyNumberFormat="true" applyFont="true"/>
    <xf numFmtId="0" fontId="1196" fillId="0" borderId="0" xfId="0" applyNumberFormat="true" applyFont="true"/>
    <xf numFmtId="0" fontId="1197" fillId="0" borderId="0" xfId="0" applyNumberFormat="true" applyFont="true"/>
    <xf numFmtId="0" fontId="1198" fillId="0" borderId="0" xfId="0" applyNumberFormat="true" applyFont="true" applyAlignment="true">
      <alignment horizontal="center" vertical="center"/>
    </xf>
    <xf numFmtId="0" fontId="1199" fillId="0" borderId="0" xfId="0" applyFont="true" applyAlignment="true">
      <alignment horizontal="center" vertical="center"/>
    </xf>
    <xf numFmtId="0" fontId="1200" fillId="0" borderId="0" xfId="0" applyFont="true" applyAlignment="true">
      <alignment horizontal="center" vertical="center"/>
    </xf>
    <xf numFmtId="0" fontId="1201" fillId="0" borderId="0" xfId="0" applyFont="true" applyAlignment="true">
      <alignment horizontal="center" vertical="center"/>
    </xf>
    <xf numFmtId="0" fontId="1202" fillId="0" borderId="0" xfId="0" applyFont="true" applyAlignment="true">
      <alignment horizontal="center" vertical="center"/>
    </xf>
    <xf numFmtId="0" fontId="1203" fillId="0" borderId="0" xfId="0" applyFont="true" applyAlignment="true">
      <alignment horizontal="center" vertical="center"/>
    </xf>
    <xf numFmtId="0" fontId="1204" fillId="0" borderId="0" xfId="0" applyNumberFormat="true" applyFont="true" applyAlignment="true">
      <alignment horizontal="center" vertical="center"/>
    </xf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11" borderId="0" xfId="0" applyNumberFormat="true" applyFill="true" applyFont="true" applyAlignment="true">
      <alignment horizontal="left" vertical="center"/>
    </xf>
    <xf numFmtId="0" fontId="1210" fillId="11" borderId="0" xfId="0" applyNumberFormat="true" applyFill="true" applyFont="true" applyAlignment="true">
      <alignment horizontal="left" vertical="center"/>
    </xf>
    <xf numFmtId="0" fontId="1211" fillId="11" borderId="0" xfId="0" applyNumberFormat="true" applyFill="true" applyFont="true" applyAlignment="true">
      <alignment horizontal="left" vertical="center"/>
    </xf>
    <xf numFmtId="0" fontId="1212" fillId="11" borderId="0" xfId="0" applyFill="true" applyFont="true" applyAlignment="true">
      <alignment horizontal="left" vertical="center"/>
    </xf>
    <xf numFmtId="0" fontId="1213" fillId="11" borderId="0" xfId="0" applyNumberFormat="true" applyFill="true" applyFont="true" applyAlignment="true">
      <alignment horizontal="left" vertical="center"/>
    </xf>
    <xf numFmtId="0" fontId="1214" fillId="11" borderId="0" xfId="0" applyFill="true" applyFont="true" applyAlignment="true">
      <alignment horizontal="left" vertical="center"/>
    </xf>
    <xf numFmtId="0" fontId="1215" fillId="13" borderId="0" xfId="0" applyFill="true" applyFont="true" applyAlignment="true">
      <alignment horizontal="center" vertical="center"/>
    </xf>
    <xf numFmtId="0" fontId="1216" fillId="13" borderId="0" xfId="0" applyNumberFormat="true" applyFill="true" applyFont="true" applyAlignment="true">
      <alignment horizontal="center" vertical="center"/>
    </xf>
    <xf numFmtId="0" fontId="1217" fillId="13" borderId="0" xfId="0" applyNumberFormat="true" applyFill="true" applyFont="true" applyAlignment="true">
      <alignment horizontal="center" vertical="center"/>
    </xf>
    <xf numFmtId="0" fontId="1218" fillId="13" borderId="0" xfId="0" applyNumberFormat="true" applyFill="true" applyFont="true" applyAlignment="true">
      <alignment horizontal="center" vertical="center"/>
    </xf>
    <xf numFmtId="0" fontId="1219" fillId="0" borderId="0" xfId="0" applyFont="true"/>
    <xf numFmtId="171" fontId="1220" fillId="0" borderId="0" xfId="0" applyNumberFormat="true" applyFont="true"/>
    <xf numFmtId="0" fontId="1221" fillId="0" borderId="0" xfId="0" applyNumberFormat="true" applyFont="true" applyAlignment="true">
      <alignment horizontal="center" vertical="center"/>
    </xf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NumberFormat="true" applyFont="true" applyAlignment="true">
      <alignment horizontal="left" vertical="top"/>
    </xf>
    <xf numFmtId="0" fontId="1227" fillId="0" borderId="0" xfId="0" applyNumberFormat="true" applyFont="true" applyAlignment="true">
      <alignment horizontal="left" vertical="top"/>
    </xf>
    <xf numFmtId="172" fontId="1228" fillId="0" borderId="0" xfId="0" applyNumberFormat="true" applyFont="true" applyAlignment="true">
      <alignment horizontal="left" vertical="top"/>
    </xf>
    <xf numFmtId="0" fontId="1229" fillId="0" borderId="0" xfId="0" applyNumberFormat="true" applyFont="true" applyAlignment="true">
      <alignment horizontal="left" vertical="top"/>
    </xf>
    <xf numFmtId="0" fontId="1230" fillId="0" borderId="0" xfId="0" applyFont="true"/>
    <xf numFmtId="171" fontId="1231" fillId="0" borderId="0" xfId="0" applyNumberFormat="true" applyFont="true"/>
    <xf numFmtId="0" fontId="1232" fillId="0" borderId="0" xfId="0" applyNumberFormat="true" applyFont="true" applyAlignment="true">
      <alignment horizontal="center" vertical="center"/>
    </xf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NumberFormat="true" applyFont="true" applyAlignment="true">
      <alignment horizontal="left" vertical="top"/>
    </xf>
    <xf numFmtId="0" fontId="1238" fillId="0" borderId="0" xfId="0" applyNumberFormat="true" applyFont="true" applyAlignment="true">
      <alignment horizontal="left" vertical="top"/>
    </xf>
    <xf numFmtId="0" fontId="1239" fillId="0" borderId="0" xfId="0" applyNumberFormat="true" applyFont="true" applyAlignment="true">
      <alignment horizontal="left" vertical="top"/>
    </xf>
    <xf numFmtId="0" fontId="1240" fillId="0" borderId="0" xfId="0" applyFont="true" applyAlignment="true">
      <alignment horizontal="left" vertical="top"/>
    </xf>
    <xf numFmtId="0" fontId="1241" fillId="0" borderId="0" xfId="0" applyFont="true"/>
    <xf numFmtId="171" fontId="1242" fillId="0" borderId="0" xfId="0" applyNumberFormat="true" applyFont="true"/>
    <xf numFmtId="0" fontId="1243" fillId="0" borderId="0" xfId="0" applyNumberFormat="true" applyFont="true" applyAlignment="true">
      <alignment horizontal="center" vertical="center"/>
    </xf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NumberFormat="true" applyFont="true" applyAlignment="true">
      <alignment horizontal="left" vertical="top"/>
    </xf>
    <xf numFmtId="0" fontId="1249" fillId="0" borderId="0" xfId="0" applyNumberFormat="true" applyFont="true" applyAlignment="true">
      <alignment horizontal="left" vertical="top"/>
    </xf>
    <xf numFmtId="0" fontId="1250" fillId="0" borderId="0" xfId="0" applyNumberFormat="true" applyFont="true" applyAlignment="true">
      <alignment horizontal="left" vertical="top"/>
    </xf>
    <xf numFmtId="0" fontId="1251" fillId="0" borderId="0" xfId="0" applyFont="true" applyAlignment="true">
      <alignment horizontal="left" vertical="top"/>
    </xf>
    <xf numFmtId="0" fontId="1252" fillId="0" borderId="0" xfId="0" applyFont="true"/>
    <xf numFmtId="0" fontId="1253" fillId="0" borderId="0" xfId="0" applyNumberFormat="true" applyFont="true" applyAlignment="true">
      <alignment horizontal="center" vertical="center"/>
    </xf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NumberFormat="true" applyFont="true" applyAlignment="true">
      <alignment horizontal="center" vertical="center"/>
    </xf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13" borderId="0" xfId="0" applyNumberFormat="true" applyFill="true" applyFont="true" applyAlignment="true">
      <alignment horizontal="left" vertical="center"/>
    </xf>
    <xf numFmtId="0" fontId="1267" fillId="13" borderId="0" xfId="0" applyNumberFormat="true" applyFill="true" applyFont="true" applyAlignment="true">
      <alignment horizontal="left" vertical="center"/>
    </xf>
    <xf numFmtId="0" fontId="1268" fillId="13" borderId="0" xfId="0" applyNumberFormat="true" applyFill="true" applyFont="true" applyAlignment="true">
      <alignment horizontal="left" vertical="center"/>
    </xf>
    <xf numFmtId="0" fontId="1269" fillId="0" borderId="0" xfId="0" applyFont="true" applyAlignment="true">
      <alignment horizontal="left" vertical="center"/>
    </xf>
    <xf numFmtId="0" fontId="1270" fillId="13" borderId="0" xfId="0" applyNumberFormat="true" applyFill="true" applyFont="true" applyAlignment="true">
      <alignment horizontal="left" vertical="center"/>
    </xf>
    <xf numFmtId="0" fontId="1271" fillId="0" borderId="276" xfId="0" applyFont="true" applyAlignment="true" applyBorder="true">
      <alignment horizontal="left" vertical="top"/>
    </xf>
    <xf numFmtId="0" fontId="1272" fillId="0" borderId="276" xfId="0" applyFont="true" applyBorder="true"/>
    <xf numFmtId="0" fontId="1273" fillId="0" borderId="276" xfId="0" applyNumberFormat="true" applyFont="true" applyAlignment="true" applyBorder="true">
      <alignment horizontal="left" vertical="top"/>
    </xf>
    <xf numFmtId="2" fontId="1274" fillId="0" borderId="276" xfId="0" applyNumberFormat="true" applyFont="true" applyAlignment="true" applyBorder="true">
      <alignment horizontal="left" vertical="top"/>
    </xf>
    <xf numFmtId="0" fontId="1275" fillId="0" borderId="276" xfId="0" applyNumberFormat="true" applyFont="true" applyAlignment="true" applyBorder="true">
      <alignment horizontal="center" vertical="top"/>
    </xf>
    <xf numFmtId="0" fontId="1276" fillId="0" borderId="276" xfId="0" applyFont="true" applyAlignment="true" applyBorder="true">
      <alignment horizontal="left" vertical="top"/>
    </xf>
    <xf numFmtId="0" fontId="1277" fillId="0" borderId="276" xfId="0" applyFont="true" applyBorder="true"/>
    <xf numFmtId="0" fontId="1278" fillId="0" borderId="276" xfId="0" applyFont="true" applyBorder="true"/>
    <xf numFmtId="0" fontId="1279" fillId="0" borderId="0" xfId="0" applyNumberFormat="true" applyFont="true" applyAlignment="true">
      <alignment horizontal="left" vertical="top"/>
    </xf>
    <xf numFmtId="173" fontId="1280" fillId="0" borderId="0" xfId="0" applyNumberFormat="true" applyFont="true" applyAlignment="true">
      <alignment horizontal="left" vertical="top"/>
    </xf>
    <xf numFmtId="0" fontId="1281" fillId="0" borderId="0" xfId="0" applyFont="true" applyAlignment="true">
      <alignment horizontal="left" vertical="top"/>
    </xf>
    <xf numFmtId="0" fontId="1282" fillId="0" borderId="0" xfId="0" applyFont="true"/>
    <xf numFmtId="0" fontId="1283" fillId="15" borderId="0" xfId="0" applyNumberFormat="true" applyFill="true" applyFont="true" applyAlignment="true">
      <alignment horizontal="left" vertical="top"/>
    </xf>
    <xf numFmtId="0" fontId="1284" fillId="0" borderId="0" xfId="0" applyNumberFormat="true" applyFont="true"/>
    <xf numFmtId="0" fontId="1285" fillId="0" borderId="0" xfId="0" applyNumberFormat="true" applyFont="true" applyAlignment="true">
      <alignment horizontal="left" vertical="top"/>
    </xf>
    <xf numFmtId="0" fontId="1286" fillId="0" borderId="0" xfId="0" applyFont="true"/>
    <xf numFmtId="0" fontId="1287" fillId="0" borderId="0" xfId="0" applyNumberFormat="true" applyFont="true" applyAlignment="true">
      <alignment horizontal="left" vertical="top"/>
    </xf>
    <xf numFmtId="2" fontId="1288" fillId="0" borderId="0" xfId="0" applyNumberFormat="true" applyFont="true" applyAlignment="true">
      <alignment horizontal="left" vertical="top"/>
    </xf>
    <xf numFmtId="2" fontId="1289" fillId="0" borderId="0" xfId="0" applyNumberFormat="true" applyFont="true" applyAlignment="true">
      <alignment horizontal="left" vertical="top"/>
    </xf>
    <xf numFmtId="0" fontId="1290" fillId="0" borderId="0" xfId="0" applyFont="true" applyAlignment="true">
      <alignment horizontal="left" vertical="top"/>
    </xf>
    <xf numFmtId="0" fontId="1291" fillId="0" borderId="0" xfId="0" applyFont="true"/>
    <xf numFmtId="0" fontId="1292" fillId="0" borderId="0" xfId="0" applyFont="true"/>
    <xf numFmtId="0" fontId="1293" fillId="0" borderId="0" xfId="0" applyNumberFormat="true" applyFont="true" applyAlignment="true">
      <alignment horizontal="left" vertical="top"/>
    </xf>
    <xf numFmtId="173" fontId="1294" fillId="0" borderId="0" xfId="0" applyNumberFormat="true" applyFont="true" applyAlignment="true">
      <alignment horizontal="left" vertical="top"/>
    </xf>
    <xf numFmtId="0" fontId="1295" fillId="0" borderId="0" xfId="0" applyFont="true"/>
    <xf numFmtId="0" fontId="1296" fillId="0" borderId="0" xfId="0" applyFont="true"/>
    <xf numFmtId="0" fontId="1297" fillId="17" borderId="0" xfId="0" applyNumberFormat="true" applyFill="true" applyFont="true" applyAlignment="true">
      <alignment horizontal="left" vertical="top"/>
    </xf>
    <xf numFmtId="0" fontId="1298" fillId="0" borderId="0" xfId="0" applyNumberFormat="true" applyFont="true"/>
    <xf numFmtId="0" fontId="1299" fillId="0" borderId="0" xfId="0" applyNumberFormat="true" applyFont="true" applyAlignment="true">
      <alignment horizontal="left" vertical="top"/>
    </xf>
    <xf numFmtId="0" fontId="1300" fillId="0" borderId="0" xfId="0" applyFont="true"/>
    <xf numFmtId="0" fontId="1301" fillId="0" borderId="0" xfId="0" applyNumberFormat="true" applyFont="true" applyAlignment="true">
      <alignment horizontal="left" vertical="top"/>
    </xf>
    <xf numFmtId="4" fontId="1302" fillId="0" borderId="0" xfId="0" applyNumberFormat="true" applyFont="true" applyAlignment="true">
      <alignment horizontal="left" vertical="top"/>
    </xf>
    <xf numFmtId="4" fontId="1303" fillId="0" borderId="0" xfId="0" applyNumberFormat="true" applyFont="true" applyAlignment="true">
      <alignment horizontal="left" vertical="top"/>
    </xf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NumberFormat="true" applyFont="true" applyAlignment="true">
      <alignment horizontal="left" vertical="top"/>
    </xf>
    <xf numFmtId="173" fontId="1308" fillId="0" borderId="0" xfId="0" applyNumberFormat="true" applyFont="true" applyAlignment="true">
      <alignment horizontal="left" vertical="top"/>
    </xf>
    <xf numFmtId="0" fontId="1309" fillId="0" borderId="0" xfId="0" applyFont="true"/>
    <xf numFmtId="0" fontId="1310" fillId="0" borderId="0" xfId="0" applyFont="true"/>
    <xf numFmtId="0" fontId="1311" fillId="19" borderId="0" xfId="0" applyNumberFormat="true" applyFill="true" applyFont="true" applyAlignment="true">
      <alignment horizontal="left" vertical="top"/>
    </xf>
    <xf numFmtId="0" fontId="1312" fillId="0" borderId="0" xfId="0" applyNumberFormat="true" applyFont="true"/>
    <xf numFmtId="0" fontId="1313" fillId="0" borderId="0" xfId="0" applyNumberFormat="true" applyFont="true" applyAlignment="true">
      <alignment horizontal="left" vertical="top"/>
    </xf>
    <xf numFmtId="0" fontId="1314" fillId="0" borderId="0" xfId="0" applyFont="true"/>
    <xf numFmtId="0" fontId="1315" fillId="0" borderId="0" xfId="0" applyNumberFormat="true" applyFont="true" applyAlignment="true">
      <alignment horizontal="left" vertical="top"/>
    </xf>
    <xf numFmtId="2" fontId="1316" fillId="0" borderId="0" xfId="0" applyNumberFormat="true" applyFont="true" applyAlignment="true">
      <alignment horizontal="left" vertical="top"/>
    </xf>
    <xf numFmtId="4" fontId="1317" fillId="0" borderId="0" xfId="0" applyNumberFormat="true" applyFont="true" applyAlignment="true">
      <alignment horizontal="left" vertical="top"/>
    </xf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NumberFormat="true" applyFont="true" applyAlignment="true">
      <alignment horizontal="center" vertical="center"/>
    </xf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13" borderId="0" xfId="0" applyNumberFormat="true" applyFill="true" applyFont="true" applyAlignment="true">
      <alignment horizontal="left" vertical="top"/>
    </xf>
    <xf numFmtId="0" fontId="1327" fillId="13" borderId="0" xfId="0" applyNumberFormat="true" applyFill="true" applyFont="true" applyAlignment="true">
      <alignment horizontal="left" vertical="top"/>
    </xf>
    <xf numFmtId="0" fontId="1328" fillId="13" borderId="0" xfId="0" applyNumberFormat="true" applyFill="true" applyFont="true" applyAlignment="true">
      <alignment horizontal="left" vertical="top"/>
    </xf>
    <xf numFmtId="0" fontId="1329" fillId="0" borderId="0" xfId="0" applyFont="true" applyAlignment="true">
      <alignment horizontal="left"/>
    </xf>
    <xf numFmtId="0" fontId="1330" fillId="0" borderId="0" xfId="0" applyFont="true" applyAlignment="true">
      <alignment horizontal="left"/>
    </xf>
    <xf numFmtId="0" fontId="1331" fillId="0" borderId="0" xfId="0" applyNumberFormat="true" applyFont="true" applyAlignment="true">
      <alignment horizontal="center" vertical="center"/>
    </xf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 applyAlignment="true">
      <alignment horizontal="left" vertical="top"/>
    </xf>
    <xf numFmtId="0" fontId="1339" fillId="0" borderId="0" xfId="0" applyNumberFormat="true" applyFont="true" applyAlignment="true">
      <alignment horizontal="left" vertical="top"/>
    </xf>
    <xf numFmtId="173" fontId="1340" fillId="0" borderId="0" xfId="0" applyNumberFormat="true" applyFont="true" applyAlignment="true">
      <alignment horizontal="left" vertical="top"/>
    </xf>
    <xf numFmtId="0" fontId="1341" fillId="0" borderId="0" xfId="0" applyFont="true" applyAlignment="true">
      <alignment horizontal="left" vertical="top"/>
    </xf>
    <xf numFmtId="0" fontId="1342" fillId="0" borderId="0" xfId="0" applyFont="true"/>
    <xf numFmtId="0" fontId="1343" fillId="0" borderId="0" xfId="0" applyFont="true"/>
    <xf numFmtId="0" fontId="1344" fillId="13" borderId="0" xfId="0" applyNumberFormat="true" applyFill="true" applyFont="true" applyAlignment="true">
      <alignment horizontal="center" vertical="center"/>
    </xf>
    <xf numFmtId="0" fontId="1345" fillId="13" borderId="0" xfId="0" applyNumberFormat="true" applyFill="true" applyFont="true" applyAlignment="true">
      <alignment horizontal="center" vertical="center"/>
    </xf>
    <xf numFmtId="0" fontId="1346" fillId="0" borderId="0" xfId="0" applyFont="true"/>
    <xf numFmtId="0" fontId="1347" fillId="13" borderId="0" xfId="0" applyNumberFormat="true" applyFill="true" applyFont="true" applyAlignment="true">
      <alignment horizontal="center" vertical="center"/>
    </xf>
    <xf numFmtId="0" fontId="1348" fillId="0" borderId="0" xfId="0" applyFont="true"/>
    <xf numFmtId="0" fontId="1349" fillId="13" borderId="0" xfId="0" applyNumberFormat="true" applyFill="true" applyFont="true" applyAlignment="true">
      <alignment horizontal="center" vertical="center"/>
    </xf>
    <xf numFmtId="0" fontId="1350" fillId="0" borderId="0" xfId="0" applyFont="true"/>
    <xf numFmtId="0" fontId="1351" fillId="13" borderId="0" xfId="0" applyNumberFormat="true" applyFill="true" applyFont="true" applyAlignment="true">
      <alignment horizontal="center" vertical="center"/>
    </xf>
    <xf numFmtId="0" fontId="1352" fillId="0" borderId="0" xfId="0" applyNumberFormat="true" applyFont="true" applyAlignment="true">
      <alignment horizontal="left" vertical="top"/>
    </xf>
    <xf numFmtId="173" fontId="1353" fillId="0" borderId="0" xfId="0" applyNumberFormat="true" applyFont="true" applyAlignment="true">
      <alignment horizontal="left" vertical="top"/>
    </xf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 applyAlignment="true">
      <alignment horizontal="left" vertical="top"/>
    </xf>
    <xf numFmtId="0" fontId="1358" fillId="0" borderId="0" xfId="0" applyNumberFormat="true" applyFont="true" applyAlignment="true">
      <alignment horizontal="left" vertical="top"/>
    </xf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NumberFormat="true" applyFont="true" applyAlignment="true">
      <alignment horizontal="left" vertical="top"/>
    </xf>
    <xf numFmtId="173" fontId="1366" fillId="0" borderId="0" xfId="0" applyNumberFormat="true" applyFont="true" applyAlignment="true">
      <alignment horizontal="left" vertical="top"/>
    </xf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NumberFormat="true" applyFont="true" applyAlignment="true">
      <alignment horizontal="left" vertical="top"/>
    </xf>
    <xf numFmtId="173" fontId="1379" fillId="0" borderId="0" xfId="0" applyNumberFormat="true" applyFont="true" applyAlignment="true">
      <alignment horizontal="left" vertical="top"/>
    </xf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NumberFormat="true" applyFont="true" applyAlignment="true">
      <alignment horizontal="left" vertical="top"/>
    </xf>
    <xf numFmtId="0" fontId="1384" fillId="0" borderId="0" xfId="0" applyNumberFormat="true" applyFont="true" applyAlignment="true">
      <alignment horizontal="left" vertical="top"/>
    </xf>
    <xf numFmtId="0" fontId="1385" fillId="0" borderId="0" xfId="0" applyFont="true"/>
    <xf numFmtId="0" fontId="1386" fillId="0" borderId="0" xfId="0" applyNumberFormat="true" applyFont="true" applyAlignment="true">
      <alignment horizontal="left" vertical="top"/>
    </xf>
    <xf numFmtId="0" fontId="1387" fillId="0" borderId="0" xfId="0" applyFont="true"/>
    <xf numFmtId="0" fontId="1388" fillId="0" borderId="0" xfId="0" applyNumberFormat="true" applyFont="true" applyAlignment="true">
      <alignment horizontal="left" vertical="top"/>
    </xf>
    <xf numFmtId="0" fontId="1389" fillId="0" borderId="0" xfId="0" applyFont="true"/>
    <xf numFmtId="0" fontId="1390" fillId="0" borderId="0" xfId="0" applyNumberFormat="true" applyFont="true" applyAlignment="true">
      <alignment horizontal="left" vertical="top"/>
    </xf>
    <xf numFmtId="0" fontId="1391" fillId="0" borderId="0" xfId="0" applyNumberFormat="true" applyFont="true" applyAlignment="true">
      <alignment horizontal="left" vertical="top"/>
    </xf>
    <xf numFmtId="0" fontId="1392" fillId="0" borderId="0" xfId="0" applyNumberFormat="true" applyFont="true" applyAlignment="true">
      <alignment horizontal="left" vertical="top"/>
    </xf>
    <xf numFmtId="0" fontId="1393" fillId="0" borderId="0" xfId="0" applyFont="true"/>
    <xf numFmtId="0" fontId="1394" fillId="0" borderId="0" xfId="0" applyNumberFormat="true" applyFont="true" applyAlignment="true">
      <alignment horizontal="left" vertical="top"/>
    </xf>
    <xf numFmtId="0" fontId="1395" fillId="0" borderId="0" xfId="0" applyFont="true"/>
    <xf numFmtId="0" fontId="1396" fillId="0" borderId="0" xfId="0" applyNumberFormat="true" applyFont="true" applyAlignment="true">
      <alignment horizontal="left" vertical="top"/>
    </xf>
    <xf numFmtId="0" fontId="1397" fillId="0" borderId="0" xfId="0" applyFont="true"/>
    <xf numFmtId="0" fontId="1398" fillId="0" borderId="0" xfId="0" applyNumberFormat="true" applyFont="true" applyAlignment="true">
      <alignment horizontal="left" vertical="top"/>
    </xf>
    <xf numFmtId="0" fontId="1399" fillId="0" borderId="0" xfId="0" applyNumberFormat="true" applyFont="true" applyAlignment="true">
      <alignment horizontal="center" vertical="center"/>
    </xf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NumberFormat="true" applyFont="true" applyAlignment="true">
      <alignment horizontal="left" vertical="top"/>
    </xf>
    <xf numFmtId="0" fontId="1405" fillId="0" borderId="0" xfId="0" applyNumberFormat="true" applyFont="true" applyAlignment="true">
      <alignment horizontal="left" vertical="top"/>
    </xf>
    <xf numFmtId="0" fontId="1406" fillId="0" borderId="0" xfId="0" applyFont="true"/>
    <xf numFmtId="0" fontId="1407" fillId="0" borderId="0" xfId="0" applyNumberFormat="true" applyFont="true" applyAlignment="true">
      <alignment horizontal="left" vertical="top"/>
    </xf>
    <xf numFmtId="0" fontId="1408" fillId="0" borderId="0" xfId="0" applyFont="true"/>
    <xf numFmtId="0" fontId="1409" fillId="0" borderId="0" xfId="0" applyNumberFormat="true" applyFont="true" applyAlignment="true">
      <alignment horizontal="left" vertical="top"/>
    </xf>
    <xf numFmtId="0" fontId="1410" fillId="0" borderId="0" xfId="0" applyFont="true"/>
    <xf numFmtId="0" fontId="1411" fillId="0" borderId="0" xfId="0" applyNumberFormat="true" applyFont="true" applyAlignment="true">
      <alignment horizontal="left" vertical="top"/>
    </xf>
    <xf numFmtId="0" fontId="1412" fillId="0" borderId="0" xfId="0" applyNumberFormat="true" applyFont="true" applyAlignment="true">
      <alignment horizontal="center" vertical="center"/>
    </xf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NumberFormat="true" applyFont="true" applyAlignment="true">
      <alignment horizontal="left" vertical="top"/>
    </xf>
    <xf numFmtId="0" fontId="1418" fillId="0" borderId="0" xfId="0" applyNumberFormat="true" applyFont="true" applyAlignment="true">
      <alignment horizontal="left" vertical="top"/>
    </xf>
    <xf numFmtId="0" fontId="1419" fillId="0" borderId="0" xfId="0" applyFont="true"/>
    <xf numFmtId="0" fontId="1420" fillId="0" borderId="0" xfId="0" applyNumberFormat="true" applyFont="true" applyAlignment="true">
      <alignment horizontal="left" vertical="top"/>
    </xf>
    <xf numFmtId="0" fontId="1421" fillId="0" borderId="0" xfId="0" applyFont="true"/>
    <xf numFmtId="0" fontId="1422" fillId="0" borderId="0" xfId="0" applyNumberFormat="true" applyFont="true" applyAlignment="true">
      <alignment horizontal="left" vertical="top"/>
    </xf>
    <xf numFmtId="0" fontId="1423" fillId="0" borderId="0" xfId="0" applyFont="true"/>
    <xf numFmtId="0" fontId="1424" fillId="0" borderId="0" xfId="0" applyNumberFormat="true" applyFont="true" applyAlignment="true">
      <alignment horizontal="left" vertical="top"/>
    </xf>
    <xf numFmtId="0" fontId="1425" fillId="13" borderId="0" xfId="0" applyNumberFormat="true" applyFill="true" applyFont="true" applyAlignment="true">
      <alignment horizontal="center" vertical="center"/>
    </xf>
    <xf numFmtId="0" fontId="1426" fillId="13" borderId="0" xfId="0" applyNumberFormat="true" applyFill="true" applyFont="true" applyAlignment="true">
      <alignment horizontal="center" vertical="center"/>
    </xf>
    <xf numFmtId="0" fontId="1427" fillId="13" borderId="0" xfId="0" applyNumberFormat="true" applyFill="true" applyFont="true" applyAlignment="true">
      <alignment horizontal="center" vertical="center"/>
    </xf>
    <xf numFmtId="0" fontId="1428" fillId="13" borderId="0" xfId="0" applyNumberFormat="true" applyFill="true" applyFont="true" applyAlignment="true">
      <alignment horizontal="center" vertical="center"/>
    </xf>
    <xf numFmtId="0" fontId="1429" fillId="0" borderId="0" xfId="0" applyFont="true"/>
    <xf numFmtId="0" fontId="1430" fillId="0" borderId="0" xfId="0" applyNumberFormat="true" applyFont="true" applyAlignment="true">
      <alignment horizontal="left" vertical="top"/>
    </xf>
    <xf numFmtId="0" fontId="1431" fillId="0" borderId="0" xfId="0" applyNumberFormat="true" applyFont="true" applyAlignment="true">
      <alignment horizontal="left" vertical="top"/>
    </xf>
    <xf numFmtId="0" fontId="1432" fillId="0" borderId="0" xfId="0" applyFont="true"/>
    <xf numFmtId="0" fontId="1433" fillId="0" borderId="0" xfId="0" applyNumberFormat="true" applyFont="true" applyAlignment="true">
      <alignment horizontal="left" vertical="top"/>
    </xf>
    <xf numFmtId="0" fontId="1434" fillId="0" borderId="0" xfId="0" applyFont="true"/>
    <xf numFmtId="0" fontId="1435" fillId="0" borderId="0" xfId="0" applyNumberFormat="true" applyFont="true" applyAlignment="true">
      <alignment horizontal="left" vertical="top"/>
    </xf>
    <xf numFmtId="0" fontId="1436" fillId="0" borderId="0" xfId="0" applyFont="true"/>
    <xf numFmtId="0" fontId="1437" fillId="0" borderId="0" xfId="0" applyNumberFormat="true" applyFont="true" applyAlignment="true">
      <alignment horizontal="left" vertical="top"/>
    </xf>
    <xf numFmtId="0" fontId="1438" fillId="0" borderId="0" xfId="0" applyNumberFormat="true" applyFont="true" applyAlignment="true">
      <alignment horizontal="left" vertical="top"/>
    </xf>
    <xf numFmtId="0" fontId="1439" fillId="0" borderId="0" xfId="0" applyNumberFormat="true" applyFont="true" applyAlignment="true">
      <alignment horizontal="left" vertical="top"/>
    </xf>
    <xf numFmtId="0" fontId="1440" fillId="0" borderId="0" xfId="0" applyNumberFormat="true" applyFont="true" applyAlignment="true">
      <alignment horizontal="left" vertical="top"/>
    </xf>
    <xf numFmtId="0" fontId="1441" fillId="0" borderId="0" xfId="0" applyFont="true"/>
    <xf numFmtId="0" fontId="1442" fillId="0" borderId="0" xfId="0" applyFont="true"/>
    <xf numFmtId="0" fontId="1443" fillId="0" borderId="0" xfId="0" applyNumberFormat="true" applyFont="true" applyAlignment="true">
      <alignment horizontal="left" vertical="top"/>
    </xf>
    <xf numFmtId="0" fontId="1444" fillId="0" borderId="0" xfId="0" applyNumberFormat="true" applyFont="true" applyAlignment="true">
      <alignment horizontal="left" vertical="top"/>
    </xf>
    <xf numFmtId="0" fontId="1445" fillId="0" borderId="0" xfId="0" applyNumberFormat="true" applyFont="true" applyAlignment="true">
      <alignment horizontal="left" vertical="top"/>
    </xf>
    <xf numFmtId="0" fontId="1446" fillId="0" borderId="0" xfId="0" applyFont="true"/>
    <xf numFmtId="0" fontId="1447" fillId="0" borderId="0" xfId="0" applyFont="true"/>
    <xf numFmtId="0" fontId="1448" fillId="0" borderId="0" xfId="0" applyNumberFormat="true" applyFont="true"/>
    <xf numFmtId="0" fontId="1449" fillId="0" borderId="0" xfId="0" applyNumberFormat="true" applyFont="true" applyAlignment="true">
      <alignment horizontal="left" vertical="top"/>
    </xf>
    <xf numFmtId="0" fontId="1450" fillId="0" borderId="0" xfId="0" applyNumberFormat="true" applyFont="true" applyAlignment="true">
      <alignment horizontal="left" vertical="top"/>
    </xf>
    <xf numFmtId="0" fontId="1451" fillId="0" borderId="0" xfId="0" applyNumberFormat="true" applyFont="true" applyAlignment="true">
      <alignment horizontal="left" vertical="top"/>
    </xf>
    <xf numFmtId="0" fontId="1452" fillId="0" borderId="0" xfId="0" applyFont="true"/>
    <xf numFmtId="0" fontId="1453" fillId="0" borderId="0" xfId="0" applyFont="true"/>
    <xf numFmtId="0" fontId="1454" fillId="0" borderId="0" xfId="0" applyFont="true" applyAlignment="true">
      <alignment horizontal="left" vertical="top"/>
    </xf>
    <xf numFmtId="0" fontId="1455" fillId="0" borderId="0" xfId="0" applyFont="true" applyAlignment="true">
      <alignment horizontal="left" vertical="top"/>
    </xf>
    <xf numFmtId="0" fontId="1456" fillId="0" borderId="0" xfId="0" applyFont="true" applyAlignment="true">
      <alignment horizontal="left" vertical="top"/>
    </xf>
    <xf numFmtId="0" fontId="1457" fillId="0" borderId="0" xfId="0" applyFont="true" applyAlignment="true">
      <alignment horizontal="left" vertical="top"/>
    </xf>
    <xf numFmtId="0" fontId="1458" fillId="0" borderId="0" xfId="0" applyFont="true" applyAlignment="true">
      <alignment horizontal="left" vertical="top"/>
    </xf>
    <xf numFmtId="171" fontId="1459" fillId="0" borderId="0" xfId="0" applyNumberFormat="true" applyFont="true" applyAlignment="true">
      <alignment horizontal="left" vertical="top"/>
    </xf>
    <xf numFmtId="0" fontId="1460" fillId="0" borderId="0" xfId="0" applyNumberFormat="true" applyFont="true" applyAlignment="true">
      <alignment horizontal="left" vertical="top"/>
    </xf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171" fontId="1464" fillId="0" borderId="0" xfId="0" applyNumberFormat="true" applyFont="true" applyAlignment="true">
      <alignment horizontal="left" vertical="top"/>
    </xf>
    <xf numFmtId="0" fontId="1465" fillId="0" borderId="0" xfId="0" applyNumberFormat="true" applyFont="true" applyAlignment="true">
      <alignment horizontal="left" vertical="top"/>
    </xf>
    <xf numFmtId="171" fontId="1466" fillId="0" borderId="0" xfId="0" applyNumberFormat="true" applyFont="true" applyAlignment="true">
      <alignment horizontal="left" vertical="top"/>
    </xf>
    <xf numFmtId="0" fontId="1467" fillId="0" borderId="0" xfId="0" applyNumberFormat="true" applyFont="true" applyAlignment="true">
      <alignment horizontal="left" vertical="top"/>
    </xf>
    <xf numFmtId="171" fontId="1468" fillId="0" borderId="0" xfId="0" applyNumberFormat="true" applyFont="true" applyAlignment="true">
      <alignment horizontal="left" vertical="top"/>
    </xf>
    <xf numFmtId="0" fontId="1469" fillId="0" borderId="0" xfId="0" applyNumberFormat="true" applyFont="true" applyAlignment="true">
      <alignment horizontal="left" vertical="top"/>
    </xf>
    <xf numFmtId="171" fontId="1470" fillId="0" borderId="0" xfId="0" applyNumberFormat="true" applyFont="true" applyAlignment="true">
      <alignment horizontal="left" vertical="top"/>
    </xf>
    <xf numFmtId="0" fontId="1471" fillId="0" borderId="0" xfId="0" applyNumberFormat="true" applyFont="true" applyAlignment="true">
      <alignment horizontal="left" vertical="top"/>
    </xf>
    <xf numFmtId="0" fontId="1472" fillId="0" borderId="0" xfId="0" applyNumberFormat="true" applyFont="true"/>
    <xf numFmtId="171" fontId="1473" fillId="0" borderId="0" xfId="0" applyNumberFormat="true" applyFont="true" applyAlignment="true">
      <alignment horizontal="left" vertical="top"/>
    </xf>
    <xf numFmtId="0" fontId="1474" fillId="0" borderId="0" xfId="0" applyNumberFormat="true" applyFont="true" applyAlignment="true">
      <alignment horizontal="left" vertical="top"/>
    </xf>
    <xf numFmtId="0" fontId="1475" fillId="0" borderId="0" xfId="0" applyFont="true"/>
    <xf numFmtId="0" fontId="1476" fillId="0" borderId="0" xfId="0" applyNumberFormat="true" applyFont="true"/>
    <xf numFmtId="171" fontId="1477" fillId="0" borderId="0" xfId="0" applyNumberFormat="true" applyFont="true" applyAlignment="true">
      <alignment horizontal="left" vertical="top"/>
    </xf>
    <xf numFmtId="0" fontId="1478" fillId="0" borderId="0" xfId="0" applyNumberFormat="true" applyFont="true" applyAlignment="true">
      <alignment horizontal="left" vertical="top"/>
    </xf>
    <xf numFmtId="0" fontId="1479" fillId="0" borderId="0" xfId="0" applyFont="true"/>
    <xf numFmtId="0" fontId="1480" fillId="0" borderId="0" xfId="0" applyNumberFormat="true" applyFont="true"/>
    <xf numFmtId="171" fontId="1481" fillId="0" borderId="0" xfId="0" applyNumberFormat="true" applyFont="true" applyAlignment="true">
      <alignment horizontal="left" vertical="top"/>
    </xf>
    <xf numFmtId="0" fontId="1482" fillId="0" borderId="0" xfId="0" applyNumberFormat="true" applyFont="true" applyAlignment="true">
      <alignment horizontal="left" vertical="top"/>
    </xf>
    <xf numFmtId="0" fontId="1483" fillId="0" borderId="0" xfId="0" applyFont="true"/>
    <xf numFmtId="0" fontId="1484" fillId="0" borderId="0" xfId="0" applyNumberFormat="true" applyFont="true"/>
    <xf numFmtId="0" fontId="1485" fillId="0" borderId="0" xfId="0" applyNumberFormat="true" applyFont="true"/>
    <xf numFmtId="171" fontId="1486" fillId="0" borderId="0" xfId="0" applyNumberFormat="true" applyFont="true" applyAlignment="true">
      <alignment horizontal="left" vertical="top"/>
    </xf>
    <xf numFmtId="0" fontId="1487" fillId="0" borderId="0" xfId="0" applyNumberFormat="true" applyFont="true" applyAlignment="true">
      <alignment horizontal="left" vertical="top"/>
    </xf>
    <xf numFmtId="0" fontId="1488" fillId="0" borderId="0" xfId="0" applyFont="true"/>
    <xf numFmtId="171" fontId="1489" fillId="0" borderId="0" xfId="0" applyNumberFormat="true" applyFont="true" applyAlignment="true">
      <alignment horizontal="left" vertical="top"/>
    </xf>
    <xf numFmtId="0" fontId="1490" fillId="0" borderId="0" xfId="0" applyNumberFormat="true" applyFont="true" applyAlignment="true">
      <alignment horizontal="left" vertical="top"/>
    </xf>
    <xf numFmtId="0" fontId="1491" fillId="0" borderId="0" xfId="0" applyNumberFormat="true" applyFont="true"/>
    <xf numFmtId="171" fontId="1492" fillId="0" borderId="0" xfId="0" applyNumberFormat="true" applyFont="true" applyAlignment="true">
      <alignment horizontal="left" vertical="top"/>
    </xf>
    <xf numFmtId="0" fontId="1493" fillId="0" borderId="0" xfId="0" applyNumberFormat="true" applyFont="true" applyAlignment="true">
      <alignment horizontal="left" vertical="top"/>
    </xf>
    <xf numFmtId="171" fontId="1494" fillId="0" borderId="0" xfId="0" applyNumberFormat="true" applyFont="true" applyAlignment="true">
      <alignment horizontal="left" vertical="top"/>
    </xf>
    <xf numFmtId="0" fontId="1495" fillId="0" borderId="0" xfId="0" applyNumberFormat="true" applyFont="true" applyAlignment="true">
      <alignment horizontal="left" vertical="top"/>
    </xf>
    <xf numFmtId="171" fontId="1496" fillId="0" borderId="0" xfId="0" applyNumberFormat="true" applyFont="true" applyAlignment="true">
      <alignment horizontal="left" vertical="top"/>
    </xf>
    <xf numFmtId="0" fontId="1497" fillId="0" borderId="0" xfId="0" applyNumberFormat="true" applyFont="true" applyAlignment="true">
      <alignment horizontal="left" vertical="top"/>
    </xf>
    <xf numFmtId="171" fontId="1498" fillId="0" borderId="0" xfId="0" applyNumberFormat="true" applyFont="true" applyAlignment="true">
      <alignment horizontal="left" vertical="top"/>
    </xf>
    <xf numFmtId="0" fontId="1499" fillId="0" borderId="0" xfId="0" applyNumberFormat="true" applyFont="true" applyAlignment="true">
      <alignment horizontal="left" vertical="top"/>
    </xf>
    <xf numFmtId="171" fontId="1500" fillId="0" borderId="0" xfId="0" applyNumberFormat="true" applyFont="true" applyAlignment="true">
      <alignment horizontal="left" vertical="top"/>
    </xf>
    <xf numFmtId="0" fontId="1501" fillId="0" borderId="0" xfId="0" applyNumberFormat="true" applyFont="true" applyAlignment="true">
      <alignment horizontal="left" vertical="top"/>
    </xf>
    <xf numFmtId="171" fontId="1502" fillId="0" borderId="0" xfId="0" applyNumberFormat="true" applyFont="true" applyAlignment="true">
      <alignment horizontal="left" vertical="top"/>
    </xf>
    <xf numFmtId="0" fontId="1503" fillId="0" borderId="0" xfId="0" applyNumberFormat="true" applyFont="true" applyAlignment="true">
      <alignment horizontal="left" vertical="top"/>
    </xf>
    <xf numFmtId="171" fontId="1504" fillId="0" borderId="0" xfId="0" applyNumberFormat="true" applyFont="true" applyAlignment="true">
      <alignment horizontal="left" vertical="top"/>
    </xf>
    <xf numFmtId="0" fontId="1505" fillId="0" borderId="0" xfId="0" applyNumberFormat="true" applyFont="true" applyAlignment="true">
      <alignment horizontal="left" vertical="top"/>
    </xf>
    <xf numFmtId="171" fontId="1506" fillId="0" borderId="0" xfId="0" applyNumberFormat="true" applyFont="true" applyAlignment="true">
      <alignment horizontal="left" vertical="top"/>
    </xf>
    <xf numFmtId="0" fontId="1507" fillId="0" borderId="0" xfId="0" applyNumberFormat="true" applyFont="true" applyAlignment="true">
      <alignment horizontal="left" vertical="top"/>
    </xf>
    <xf numFmtId="171" fontId="1508" fillId="0" borderId="0" xfId="0" applyNumberFormat="true" applyFont="true" applyAlignment="true">
      <alignment horizontal="left" vertical="top"/>
    </xf>
    <xf numFmtId="0" fontId="1509" fillId="0" borderId="0" xfId="0" applyNumberFormat="true" applyFont="true" applyAlignment="true">
      <alignment horizontal="left" vertical="top"/>
    </xf>
    <xf numFmtId="171" fontId="1510" fillId="0" borderId="0" xfId="0" applyNumberFormat="true" applyFont="true" applyAlignment="true">
      <alignment horizontal="left" vertical="top"/>
    </xf>
    <xf numFmtId="0" fontId="1511" fillId="0" borderId="0" xfId="0" applyNumberFormat="true" applyFont="true" applyAlignment="true">
      <alignment horizontal="left" vertical="top"/>
    </xf>
    <xf numFmtId="171" fontId="1512" fillId="0" borderId="0" xfId="0" applyNumberFormat="true" applyFont="true" applyAlignment="true">
      <alignment horizontal="left" vertical="top"/>
    </xf>
    <xf numFmtId="0" fontId="1513" fillId="0" borderId="0" xfId="0" applyNumberFormat="true" applyFont="true" applyAlignment="true">
      <alignment horizontal="left" vertical="top"/>
    </xf>
    <xf numFmtId="171" fontId="1514" fillId="0" borderId="0" xfId="0" applyNumberFormat="true" applyFont="true" applyAlignment="true">
      <alignment horizontal="left" vertical="top"/>
    </xf>
    <xf numFmtId="0" fontId="1515" fillId="0" borderId="0" xfId="0" applyNumberFormat="true" applyFont="true" applyAlignment="true">
      <alignment horizontal="left" vertical="top"/>
    </xf>
    <xf numFmtId="171" fontId="1516" fillId="0" borderId="0" xfId="0" applyNumberFormat="true" applyFont="true" applyAlignment="true">
      <alignment horizontal="left" vertical="top"/>
    </xf>
    <xf numFmtId="0" fontId="1517" fillId="0" borderId="0" xfId="0" applyNumberFormat="true" applyFont="true" applyAlignment="true">
      <alignment horizontal="left" vertical="top"/>
    </xf>
    <xf numFmtId="171" fontId="1518" fillId="0" borderId="0" xfId="0" applyNumberFormat="true" applyFont="true" applyAlignment="true">
      <alignment horizontal="left" vertical="top"/>
    </xf>
    <xf numFmtId="0" fontId="1519" fillId="0" borderId="0" xfId="0" applyNumberFormat="true" applyFont="true" applyAlignment="true">
      <alignment horizontal="left" vertical="top"/>
    </xf>
    <xf numFmtId="171" fontId="1520" fillId="0" borderId="0" xfId="0" applyNumberFormat="true" applyFont="true" applyAlignment="true">
      <alignment horizontal="left" vertical="top"/>
    </xf>
    <xf numFmtId="0" fontId="1521" fillId="0" borderId="0" xfId="0" applyNumberFormat="true" applyFont="true" applyAlignment="true">
      <alignment horizontal="left" vertical="top"/>
    </xf>
    <xf numFmtId="171" fontId="1522" fillId="0" borderId="0" xfId="0" applyNumberFormat="true" applyFont="true" applyAlignment="true">
      <alignment horizontal="left" vertical="top"/>
    </xf>
    <xf numFmtId="0" fontId="1523" fillId="0" borderId="0" xfId="0" applyNumberFormat="true" applyFont="true" applyAlignment="true">
      <alignment horizontal="left" vertical="top"/>
    </xf>
    <xf numFmtId="171" fontId="1524" fillId="0" borderId="0" xfId="0" applyNumberFormat="true" applyFont="true" applyAlignment="true">
      <alignment horizontal="left" vertical="top"/>
    </xf>
    <xf numFmtId="0" fontId="1525" fillId="0" borderId="0" xfId="0" applyNumberFormat="true" applyFont="true" applyAlignment="true">
      <alignment horizontal="left" vertical="top"/>
    </xf>
    <xf numFmtId="171" fontId="1526" fillId="0" borderId="0" xfId="0" applyNumberFormat="true" applyFont="true" applyAlignment="true">
      <alignment horizontal="left" vertical="top"/>
    </xf>
    <xf numFmtId="0" fontId="1527" fillId="0" borderId="0" xfId="0" applyNumberFormat="true" applyFont="true" applyAlignment="true">
      <alignment horizontal="left" vertical="top"/>
    </xf>
    <xf numFmtId="171" fontId="1528" fillId="0" borderId="0" xfId="0" applyNumberFormat="true" applyFont="true" applyAlignment="true">
      <alignment horizontal="left" vertical="top"/>
    </xf>
    <xf numFmtId="0" fontId="1529" fillId="0" borderId="0" xfId="0" applyNumberFormat="true" applyFont="true" applyAlignment="true">
      <alignment horizontal="left" vertical="top"/>
    </xf>
    <xf numFmtId="171" fontId="1530" fillId="0" borderId="0" xfId="0" applyNumberFormat="true" applyFont="true" applyAlignment="true">
      <alignment horizontal="left" vertical="top"/>
    </xf>
    <xf numFmtId="0" fontId="1531" fillId="0" borderId="0" xfId="0" applyNumberFormat="true" applyFont="true" applyAlignment="true">
      <alignment horizontal="left" vertical="top"/>
    </xf>
    <xf numFmtId="171" fontId="1532" fillId="0" borderId="0" xfId="0" applyNumberFormat="true" applyFont="true" applyAlignment="true">
      <alignment horizontal="left" vertical="top"/>
    </xf>
    <xf numFmtId="0" fontId="1533" fillId="0" borderId="0" xfId="0" applyNumberFormat="true" applyFont="true" applyAlignment="true">
      <alignment horizontal="left" vertical="top"/>
    </xf>
    <xf numFmtId="0" fontId="1534" fillId="0" borderId="0" xfId="0" applyNumberFormat="true" applyFont="true"/>
    <xf numFmtId="0" fontId="1535" fillId="0" borderId="0" xfId="0" applyNumberFormat="true" applyFont="true"/>
    <xf numFmtId="0" fontId="1536" fillId="0" borderId="0" xfId="0" applyNumberFormat="true" applyFont="true"/>
    <xf numFmtId="0" fontId="1537" fillId="0" borderId="0" xfId="0" applyNumberFormat="true" applyFont="true"/>
    <xf numFmtId="0" fontId="1538" fillId="0" borderId="0" xfId="0" applyNumberFormat="true" applyFont="true"/>
    <xf numFmtId="0" fontId="1539" fillId="0" borderId="0" xfId="0" applyNumberFormat="true" applyFont="true"/>
    <xf numFmtId="0" fontId="1540" fillId="0" borderId="0" xfId="0" applyNumberFormat="true" applyFont="true"/>
    <xf numFmtId="0" fontId="1541" fillId="0" borderId="0" xfId="0" applyNumberFormat="true" applyFont="true"/>
    <xf numFmtId="0" fontId="1542" fillId="0" borderId="0" xfId="0" applyNumberFormat="true" applyFont="true"/>
    <xf numFmtId="0" fontId="1543" fillId="0" borderId="0" xfId="0" applyNumberFormat="true" applyFont="true"/>
    <xf numFmtId="0" fontId="1544" fillId="0" borderId="0" xfId="0" applyNumberFormat="true" applyFont="true"/>
    <xf numFmtId="0" fontId="1545" fillId="0" borderId="0" xfId="0" applyNumberFormat="true" applyFont="true"/>
    <xf numFmtId="0" fontId="1546" fillId="0" borderId="0" xfId="0" applyNumberFormat="true" applyFont="true"/>
    <xf numFmtId="0" fontId="1547" fillId="0" borderId="0" xfId="0" applyNumberFormat="true" applyFont="true"/>
    <xf numFmtId="0" fontId="1548" fillId="0" borderId="0" xfId="0" applyNumberFormat="true" applyFont="true"/>
    <xf numFmtId="0" fontId="1549" fillId="0" borderId="0" xfId="0" applyNumberFormat="true" applyFont="true"/>
    <xf numFmtId="0" fontId="1550" fillId="0" borderId="0" xfId="0" applyNumberFormat="true" applyFont="true"/>
    <xf numFmtId="0" fontId="1551" fillId="0" borderId="0" xfId="0" applyNumberFormat="true" applyFont="true"/>
    <xf numFmtId="0" fontId="1552" fillId="0" borderId="0" xfId="0" applyNumberFormat="true" applyFont="true"/>
    <xf numFmtId="0" fontId="1553" fillId="0" borderId="0" xfId="0" applyNumberFormat="true" applyFont="true"/>
    <xf numFmtId="0" fontId="1554" fillId="0" borderId="0" xfId="0" applyNumberFormat="true" applyFont="true"/>
    <xf numFmtId="0" fontId="1555" fillId="0" borderId="0" xfId="0" applyNumberFormat="true" applyFont="true"/>
    <xf numFmtId="0" fontId="1556" fillId="0" borderId="0" xfId="0" applyNumberFormat="true" applyFont="true"/>
    <xf numFmtId="0" fontId="1557" fillId="0" borderId="0" xfId="0" applyNumberFormat="true" applyFont="true"/>
    <xf numFmtId="0" fontId="1558" fillId="0" borderId="0" xfId="0" applyNumberFormat="true" applyFont="true"/>
    <xf numFmtId="0" fontId="1559" fillId="0" borderId="0" xfId="0" applyNumberFormat="true" applyFont="true"/>
    <xf numFmtId="0" fontId="1560" fillId="0" borderId="0" xfId="0" applyNumberFormat="true" applyFont="true"/>
    <xf numFmtId="0" fontId="1561" fillId="0" borderId="0" xfId="0" applyNumberFormat="true" applyFont="true"/>
    <xf numFmtId="0" fontId="1562" fillId="0" borderId="0" xfId="0" applyNumberFormat="true" applyFont="true"/>
    <xf numFmtId="0" fontId="1563" fillId="0" borderId="0" xfId="0" applyNumberFormat="true" applyFont="true"/>
    <xf numFmtId="0" fontId="1564" fillId="0" borderId="0" xfId="0" applyNumberFormat="true" applyFont="true"/>
    <xf numFmtId="0" fontId="1565" fillId="0" borderId="0" xfId="0" applyNumberFormat="true" applyFont="true"/>
    <xf numFmtId="0" fontId="1566" fillId="0" borderId="0" xfId="0" applyNumberFormat="true" applyFont="true"/>
    <xf numFmtId="0" fontId="1567" fillId="0" borderId="0" xfId="0" applyNumberFormat="true" applyFont="true"/>
    <xf numFmtId="0" fontId="1568" fillId="0" borderId="0" xfId="0" applyNumberFormat="true" applyFont="true"/>
    <xf numFmtId="0" fontId="1569" fillId="0" borderId="0" xfId="0" applyNumberFormat="true" applyFont="true"/>
    <xf numFmtId="0" fontId="1570" fillId="0" borderId="0" xfId="0" applyNumberFormat="true" applyFont="true"/>
    <xf numFmtId="0" fontId="1571" fillId="0" borderId="0" xfId="0" applyNumberFormat="true" applyFont="true"/>
    <xf numFmtId="0" fontId="1572" fillId="0" borderId="0" xfId="0" applyNumberFormat="true" applyFont="true"/>
    <xf numFmtId="0" fontId="1573" fillId="0" borderId="0" xfId="0" applyNumberFormat="true" applyFont="true"/>
    <xf numFmtId="0" fontId="1574" fillId="0" borderId="0" xfId="0" applyNumberFormat="true" applyFont="true"/>
    <xf numFmtId="0" fontId="1575" fillId="0" borderId="0" xfId="0" applyNumberFormat="true" applyFont="true"/>
    <xf numFmtId="0" fontId="1576" fillId="0" borderId="0" xfId="0" applyNumberFormat="true" applyFont="true"/>
    <xf numFmtId="0" fontId="1577" fillId="0" borderId="0" xfId="0" applyNumberFormat="true" applyFont="true"/>
    <xf numFmtId="0" fontId="1578" fillId="0" borderId="0" xfId="0" applyNumberFormat="true" applyFont="true"/>
    <xf numFmtId="0" fontId="1579" fillId="0" borderId="0" xfId="0" applyNumberFormat="true" applyFont="true"/>
    <xf numFmtId="0" fontId="1580" fillId="0" borderId="0" xfId="0" applyNumberFormat="true" applyFont="true"/>
    <xf numFmtId="0" fontId="1581" fillId="0" borderId="0" xfId="0" applyNumberFormat="true" applyFont="true"/>
    <xf numFmtId="0" fontId="1582" fillId="0" borderId="0" xfId="0" applyNumberFormat="true" applyFont="true"/>
    <xf numFmtId="0" fontId="1583" fillId="0" borderId="0" xfId="0" applyNumberFormat="true" applyFont="true"/>
    <xf numFmtId="0" fontId="1584" fillId="0" borderId="0" xfId="0" applyNumberFormat="true" applyFont="true"/>
    <xf numFmtId="0" fontId="1585" fillId="0" borderId="0" xfId="0" applyNumberFormat="true" applyFont="true"/>
    <xf numFmtId="0" fontId="1586" fillId="0" borderId="0" xfId="0" applyNumberFormat="true" applyFont="true"/>
    <xf numFmtId="0" fontId="1587" fillId="0" borderId="0" xfId="0" applyNumberFormat="true" applyFont="true"/>
    <xf numFmtId="0" fontId="1588" fillId="0" borderId="0" xfId="0" applyNumberFormat="true" applyFont="true"/>
    <xf numFmtId="0" fontId="1589" fillId="0" borderId="0" xfId="0" applyNumberFormat="true" applyFont="true"/>
    <xf numFmtId="0" fontId="1590" fillId="0" borderId="0" xfId="0" applyNumberFormat="true" applyFont="true"/>
    <xf numFmtId="0" fontId="1591" fillId="0" borderId="0" xfId="0" applyNumberFormat="true" applyFont="true"/>
    <xf numFmtId="0" fontId="1592" fillId="0" borderId="0" xfId="0" applyNumberFormat="true" applyFont="true"/>
    <xf numFmtId="0" fontId="1593" fillId="0" borderId="0" xfId="0" applyNumberFormat="true" applyFont="true"/>
    <xf numFmtId="0" fontId="1594" fillId="0" borderId="0" xfId="0" applyNumberFormat="true" applyFont="true"/>
    <xf numFmtId="0" fontId="1595" fillId="0" borderId="0" xfId="0" applyNumberFormat="true" applyFont="true"/>
    <xf numFmtId="0" fontId="1596" fillId="0" borderId="0" xfId="0" applyNumberFormat="true" applyFont="true"/>
    <xf numFmtId="0" fontId="1597" fillId="0" borderId="0" xfId="0" applyNumberFormat="true" applyFont="true"/>
    <xf numFmtId="0" fontId="1598" fillId="0" borderId="0" xfId="0" applyNumberFormat="true" applyFont="true"/>
    <xf numFmtId="0" fontId="1599" fillId="0" borderId="0" xfId="0" applyNumberFormat="true" applyFont="true"/>
    <xf numFmtId="0" fontId="1600" fillId="0" borderId="0" xfId="0" applyNumberFormat="true" applyFont="true"/>
    <xf numFmtId="0" fontId="1601" fillId="0" borderId="0" xfId="0" applyNumberFormat="true" applyFont="true"/>
    <xf numFmtId="0" fontId="1602" fillId="0" borderId="0" xfId="0" applyNumberFormat="true" applyFont="true"/>
    <xf numFmtId="0" fontId="1603" fillId="0" borderId="0" xfId="0" applyNumberFormat="true" applyFont="true"/>
    <xf numFmtId="0" fontId="1604" fillId="0" borderId="0" xfId="0" applyNumberFormat="true" applyFont="true"/>
    <xf numFmtId="0" fontId="1605" fillId="0" borderId="0" xfId="0" applyNumberFormat="true" applyFont="true"/>
    <xf numFmtId="0" fontId="1606" fillId="0" borderId="0" xfId="0" applyNumberFormat="true" applyFont="true"/>
    <xf numFmtId="0" fontId="1607" fillId="0" borderId="0" xfId="0" applyNumberFormat="true" applyFont="true"/>
    <xf numFmtId="0" fontId="1608" fillId="0" borderId="0" xfId="0" applyNumberFormat="true" applyFont="true"/>
    <xf numFmtId="0" fontId="1609" fillId="0" borderId="0" xfId="0" applyNumberFormat="true" applyFont="true"/>
    <xf numFmtId="0" fontId="1610" fillId="0" borderId="0" xfId="0" applyNumberFormat="true" applyFont="true"/>
    <xf numFmtId="0" fontId="1611" fillId="0" borderId="0" xfId="0" applyNumberFormat="true" applyFont="true"/>
    <xf numFmtId="0" fontId="1612" fillId="0" borderId="0" xfId="0" applyNumberFormat="true" applyFont="true"/>
    <xf numFmtId="0" fontId="1613" fillId="0" borderId="0" xfId="0" applyNumberFormat="true" applyFont="true"/>
    <xf numFmtId="0" fontId="1614" fillId="0" borderId="0" xfId="0" applyNumberFormat="true" applyFont="true"/>
    <xf numFmtId="0" fontId="1615" fillId="0" borderId="0" xfId="0" applyNumberFormat="true" applyFont="true"/>
    <xf numFmtId="0" fontId="1616" fillId="0" borderId="0" xfId="0" applyNumberFormat="true" applyFont="true"/>
    <xf numFmtId="0" fontId="1617" fillId="0" borderId="0" xfId="0" applyNumberFormat="true" applyFont="true"/>
    <xf numFmtId="0" fontId="1618" fillId="0" borderId="0" xfId="0" applyNumberFormat="true" applyFont="true"/>
    <xf numFmtId="0" fontId="1619" fillId="0" borderId="0" xfId="0" applyNumberFormat="true" applyFont="true"/>
    <xf numFmtId="0" fontId="1620" fillId="0" borderId="0" xfId="0" applyNumberFormat="true" applyFont="true"/>
    <xf numFmtId="0" fontId="1621" fillId="0" borderId="0" xfId="0" applyNumberFormat="true" applyFont="true"/>
    <xf numFmtId="0" fontId="1622" fillId="0" borderId="0" xfId="0" applyNumberFormat="true" applyFont="true"/>
    <xf numFmtId="0" fontId="1623" fillId="0" borderId="0" xfId="0" applyNumberFormat="true" applyFont="true"/>
    <xf numFmtId="0" fontId="1624" fillId="0" borderId="0" xfId="0" applyNumberFormat="true" applyFont="true"/>
    <xf numFmtId="0" fontId="1625" fillId="0" borderId="0" xfId="0" applyNumberFormat="true" applyFont="true"/>
    <xf numFmtId="0" fontId="1626" fillId="0" borderId="0" xfId="0" applyNumberFormat="true" applyFont="true"/>
    <xf numFmtId="0" fontId="1627" fillId="0" borderId="0" xfId="0" applyNumberFormat="true" applyFont="true"/>
    <xf numFmtId="0" fontId="1628" fillId="0" borderId="0" xfId="0" applyNumberFormat="true" applyFont="true"/>
    <xf numFmtId="0" fontId="1629" fillId="0" borderId="0" xfId="0" applyNumberFormat="true" applyFont="true"/>
    <xf numFmtId="0" fontId="1630" fillId="0" borderId="0" xfId="0" applyNumberFormat="true" applyFont="true"/>
    <xf numFmtId="0" fontId="1631" fillId="0" borderId="0" xfId="0" applyFont="true" applyAlignment="true">
      <alignment horizontal="left" vertical="top"/>
    </xf>
    <xf numFmtId="0" fontId="1632" fillId="0" borderId="0" xfId="0" applyNumberFormat="true" applyFont="true" applyAlignment="true">
      <alignment horizontal="left" vertical="top"/>
    </xf>
    <xf numFmtId="0" fontId="1633" fillId="0" borderId="0" xfId="0" applyNumberFormat="true" applyFont="true" applyAlignment="true">
      <alignment horizontal="left" vertical="top"/>
    </xf>
    <xf numFmtId="0" fontId="1634" fillId="0" borderId="0" xfId="0" applyNumberFormat="true" applyFont="true" applyAlignment="true">
      <alignment horizontal="left" vertical="top"/>
    </xf>
    <xf numFmtId="0" fontId="1635" fillId="0" borderId="0" xfId="0" applyNumberFormat="true" applyFont="true" applyAlignment="true">
      <alignment horizontal="left" vertical="top"/>
    </xf>
    <xf numFmtId="0" fontId="1636" fillId="0" borderId="0" xfId="0" applyNumberFormat="true" applyFont="true" applyAlignment="true">
      <alignment horizontal="left" vertical="top"/>
    </xf>
    <xf numFmtId="0" fontId="1637" fillId="0" borderId="0" xfId="0" applyNumberFormat="true" applyFont="true" applyAlignment="true">
      <alignment horizontal="left" vertical="top"/>
    </xf>
    <xf numFmtId="0" fontId="1638" fillId="0" borderId="0" xfId="0" applyNumberFormat="true" applyFont="true" applyAlignment="true">
      <alignment horizontal="left" vertical="top"/>
    </xf>
    <xf numFmtId="0" fontId="1639" fillId="0" borderId="0" xfId="0" applyNumberFormat="true" applyFont="true" applyAlignment="true">
      <alignment horizontal="left" vertical="top"/>
    </xf>
    <xf numFmtId="0" fontId="1640" fillId="0" borderId="0" xfId="0" applyNumberFormat="true" applyFont="true" applyAlignment="true">
      <alignment horizontal="left" vertical="top"/>
    </xf>
    <xf numFmtId="0" fontId="1641" fillId="0" borderId="0" xfId="0" applyNumberFormat="true" applyFont="true" applyAlignment="true">
      <alignment horizontal="left" vertical="top"/>
    </xf>
    <xf numFmtId="0" fontId="1642" fillId="0" borderId="0" xfId="0" applyNumberFormat="true" applyFont="true" applyAlignment="true">
      <alignment horizontal="left" vertical="top"/>
    </xf>
    <xf numFmtId="0" fontId="1643" fillId="0" borderId="0" xfId="0" applyNumberFormat="true" applyFont="true" applyAlignment="true">
      <alignment horizontal="left" vertical="top"/>
    </xf>
    <xf numFmtId="0" fontId="1644" fillId="0" borderId="0" xfId="0" applyNumberFormat="true" applyFont="true" applyAlignment="true">
      <alignment horizontal="left" vertical="top"/>
    </xf>
    <xf numFmtId="0" fontId="1645" fillId="0" borderId="0" xfId="0" applyNumberFormat="true" applyFont="true" applyAlignment="true">
      <alignment horizontal="left" vertical="top"/>
    </xf>
    <xf numFmtId="0" fontId="1646" fillId="0" borderId="0" xfId="0" applyNumberFormat="true" applyFont="true" applyAlignment="true">
      <alignment horizontal="left" vertical="top"/>
    </xf>
    <xf numFmtId="0" fontId="1647" fillId="0" borderId="0" xfId="0" applyNumberFormat="true" applyFont="true" applyAlignment="true">
      <alignment horizontal="left" vertical="top"/>
    </xf>
    <xf numFmtId="0" fontId="1648" fillId="0" borderId="0" xfId="0" applyNumberFormat="true" applyFont="true" applyAlignment="true">
      <alignment horizontal="left" vertical="top"/>
    </xf>
    <xf numFmtId="0" fontId="1649" fillId="0" borderId="0" xfId="0" applyNumberFormat="true" applyFont="true" applyAlignment="true">
      <alignment horizontal="left" vertical="top"/>
    </xf>
    <xf numFmtId="0" fontId="1650" fillId="0" borderId="0" xfId="0" applyNumberFormat="true" applyFont="true" applyAlignment="true">
      <alignment horizontal="left" vertical="top"/>
    </xf>
    <xf numFmtId="0" fontId="1651" fillId="0" borderId="0" xfId="0" applyNumberFormat="true" applyFont="true" applyAlignment="true">
      <alignment horizontal="left" vertical="top"/>
    </xf>
    <xf numFmtId="0" fontId="1652" fillId="0" borderId="0" xfId="0" applyNumberFormat="true" applyFont="true" applyAlignment="true">
      <alignment horizontal="left" vertical="top"/>
    </xf>
    <xf numFmtId="0" fontId="1653" fillId="0" borderId="0" xfId="0" applyNumberFormat="true" applyFont="true" applyAlignment="true">
      <alignment horizontal="left" vertical="top"/>
    </xf>
    <xf numFmtId="0" fontId="1654" fillId="0" borderId="0" xfId="0" applyNumberFormat="true" applyFont="true" applyAlignment="true">
      <alignment horizontal="left" vertical="top"/>
    </xf>
    <xf numFmtId="0" fontId="1655" fillId="0" borderId="0" xfId="0" applyNumberFormat="true" applyFont="true" applyAlignment="true">
      <alignment horizontal="left" vertical="top"/>
    </xf>
    <xf numFmtId="0" fontId="1656" fillId="0" borderId="0" xfId="0" applyNumberFormat="true" applyFont="true" applyAlignment="true">
      <alignment horizontal="left" vertical="top"/>
    </xf>
    <xf numFmtId="0" fontId="1657" fillId="0" borderId="0" xfId="0" applyNumberFormat="true" applyFont="true" applyAlignment="true">
      <alignment horizontal="left" vertical="top"/>
    </xf>
    <xf numFmtId="0" fontId="1658" fillId="0" borderId="0" xfId="0" applyNumberFormat="true" applyFont="true" applyAlignment="true">
      <alignment horizontal="left" vertical="top"/>
    </xf>
    <xf numFmtId="0" fontId="1659" fillId="0" borderId="0" xfId="0" applyNumberFormat="true" applyFont="true" applyAlignment="true">
      <alignment horizontal="left" vertical="top"/>
    </xf>
    <xf numFmtId="0" fontId="1660" fillId="0" borderId="0" xfId="0" applyNumberFormat="true" applyFont="true" applyAlignment="true">
      <alignment horizontal="left" vertical="top"/>
    </xf>
    <xf numFmtId="0" fontId="1661" fillId="0" borderId="0" xfId="0" applyNumberFormat="true" applyFont="true" applyAlignment="true">
      <alignment horizontal="left" vertical="top"/>
    </xf>
    <xf numFmtId="0" fontId="1662" fillId="0" borderId="0" xfId="0" applyNumberFormat="true" applyFont="true" applyAlignment="true">
      <alignment horizontal="left" vertical="top"/>
    </xf>
    <xf numFmtId="0" fontId="1663" fillId="0" borderId="0" xfId="0" applyNumberFormat="true" applyFont="true" applyAlignment="true">
      <alignment horizontal="left" vertical="top"/>
    </xf>
    <xf numFmtId="0" fontId="1664" fillId="0" borderId="0" xfId="0" applyNumberFormat="true" applyFont="true" applyAlignment="true">
      <alignment horizontal="left" vertical="top"/>
    </xf>
    <xf numFmtId="0" fontId="1665" fillId="0" borderId="0" xfId="0" applyNumberFormat="true" applyFont="true" applyAlignment="true">
      <alignment horizontal="left" vertical="top"/>
    </xf>
    <xf numFmtId="0" fontId="1666" fillId="0" borderId="0" xfId="0" applyNumberFormat="true" applyFont="true" applyAlignment="true">
      <alignment horizontal="left" vertical="top"/>
    </xf>
    <xf numFmtId="0" fontId="1667" fillId="0" borderId="0" xfId="0" applyNumberFormat="true" applyFont="true" applyAlignment="true">
      <alignment horizontal="left" vertical="top"/>
    </xf>
    <xf numFmtId="0" fontId="1668" fillId="0" borderId="0" xfId="0" applyNumberFormat="true" applyFont="true" applyAlignment="true">
      <alignment horizontal="left" vertical="top"/>
    </xf>
    <xf numFmtId="0" fontId="1669" fillId="0" borderId="0" xfId="0" applyNumberFormat="true" applyFont="true" applyAlignment="true">
      <alignment horizontal="left" vertical="top"/>
    </xf>
    <xf numFmtId="0" fontId="1670" fillId="0" borderId="0" xfId="0" applyNumberFormat="true" applyFont="true" applyAlignment="true">
      <alignment horizontal="left" vertical="top"/>
    </xf>
    <xf numFmtId="0" fontId="1671" fillId="0" borderId="0" xfId="0" applyNumberFormat="true" applyFont="true" applyAlignment="true">
      <alignment horizontal="left" vertical="top"/>
    </xf>
    <xf numFmtId="0" fontId="1672" fillId="0" borderId="0" xfId="0" applyNumberFormat="true" applyFont="true" applyAlignment="true">
      <alignment horizontal="left" vertical="top"/>
    </xf>
    <xf numFmtId="0" fontId="1673" fillId="0" borderId="0" xfId="0" applyNumberFormat="true" applyFont="true" applyAlignment="true">
      <alignment horizontal="left" vertical="top"/>
    </xf>
    <xf numFmtId="0" fontId="1674" fillId="0" borderId="0" xfId="0" applyNumberFormat="true" applyFont="true" applyAlignment="true">
      <alignment horizontal="left" vertical="top"/>
    </xf>
    <xf numFmtId="0" fontId="1675" fillId="0" borderId="0" xfId="0" applyNumberFormat="true" applyFont="true" applyAlignment="true">
      <alignment horizontal="left" vertical="top"/>
    </xf>
    <xf numFmtId="0" fontId="1676" fillId="0" borderId="0" xfId="0" applyNumberFormat="true" applyFont="true" applyAlignment="true">
      <alignment horizontal="left" vertical="top"/>
    </xf>
    <xf numFmtId="0" fontId="1677" fillId="0" borderId="0" xfId="0" applyNumberFormat="true" applyFont="true" applyAlignment="true">
      <alignment horizontal="left" vertical="top"/>
    </xf>
    <xf numFmtId="0" fontId="1678" fillId="0" borderId="0" xfId="0" applyNumberFormat="true" applyFont="true" applyAlignment="true">
      <alignment horizontal="left" vertical="top"/>
    </xf>
    <xf numFmtId="0" fontId="1679" fillId="0" borderId="0" xfId="0" applyNumberFormat="true" applyFont="true" applyAlignment="true">
      <alignment horizontal="left" vertical="top"/>
    </xf>
    <xf numFmtId="0" fontId="1680" fillId="0" borderId="0" xfId="0" applyNumberFormat="true" applyFont="true" applyAlignment="true">
      <alignment horizontal="left" vertical="top"/>
    </xf>
    <xf numFmtId="0" fontId="1681" fillId="0" borderId="0" xfId="0" applyNumberFormat="true" applyFont="true" applyAlignment="true">
      <alignment horizontal="left" vertical="top"/>
    </xf>
    <xf numFmtId="0" fontId="1682" fillId="0" borderId="0" xfId="0" applyNumberFormat="true" applyFont="true" applyAlignment="true">
      <alignment horizontal="left" vertical="top"/>
    </xf>
    <xf numFmtId="0" fontId="1683" fillId="0" borderId="0" xfId="0" applyNumberFormat="true" applyFont="true" applyAlignment="true">
      <alignment horizontal="left" vertical="top"/>
    </xf>
    <xf numFmtId="0" fontId="1684" fillId="0" borderId="0" xfId="0" applyNumberFormat="true" applyFont="true" applyAlignment="true">
      <alignment horizontal="left" vertical="top"/>
    </xf>
    <xf numFmtId="0" fontId="1685" fillId="0" borderId="0" xfId="0" applyNumberFormat="true" applyFont="true" applyAlignment="true">
      <alignment horizontal="left" vertical="top"/>
    </xf>
    <xf numFmtId="0" fontId="1686" fillId="0" borderId="0" xfId="0" applyNumberFormat="true" applyFont="true" applyAlignment="true">
      <alignment horizontal="left" vertical="top"/>
    </xf>
    <xf numFmtId="0" fontId="1687" fillId="0" borderId="0" xfId="0" applyNumberFormat="true" applyFont="true" applyAlignment="true">
      <alignment horizontal="left" vertical="top"/>
    </xf>
    <xf numFmtId="0" fontId="1688" fillId="0" borderId="0" xfId="0" applyNumberFormat="true" applyFont="true" applyAlignment="true">
      <alignment horizontal="left" vertical="top"/>
    </xf>
    <xf numFmtId="0" fontId="1689" fillId="0" borderId="0" xfId="0" applyNumberFormat="true" applyFont="true" applyAlignment="true">
      <alignment horizontal="left" vertical="top"/>
    </xf>
    <xf numFmtId="0" fontId="1690" fillId="0" borderId="0" xfId="0" applyNumberFormat="true" applyFont="true" applyAlignment="true">
      <alignment horizontal="left" vertical="top"/>
    </xf>
    <xf numFmtId="0" fontId="1691" fillId="0" borderId="0" xfId="0" applyNumberFormat="true" applyFont="true" applyAlignment="true">
      <alignment horizontal="left" vertical="top"/>
    </xf>
    <xf numFmtId="0" fontId="1692" fillId="0" borderId="0" xfId="0" applyNumberFormat="true" applyFont="true" applyAlignment="true">
      <alignment horizontal="left" vertical="top"/>
    </xf>
    <xf numFmtId="0" fontId="1693" fillId="0" borderId="0" xfId="0" applyNumberFormat="true" applyFont="true" applyAlignment="true">
      <alignment horizontal="left" vertical="top"/>
    </xf>
    <xf numFmtId="0" fontId="1694" fillId="0" borderId="0" xfId="0" applyNumberFormat="true" applyFont="true" applyAlignment="true">
      <alignment horizontal="left" vertical="top"/>
    </xf>
    <xf numFmtId="0" fontId="1695" fillId="0" borderId="0" xfId="0" applyFont="true"/>
    <xf numFmtId="0" fontId="1696" fillId="0" borderId="0" xfId="0" applyNumberFormat="true" applyFont="true"/>
    <xf numFmtId="0" fontId="1697" fillId="0" borderId="0" xfId="0" applyNumberFormat="true" applyFont="true"/>
    <xf numFmtId="0" fontId="1698" fillId="0" borderId="0" xfId="0" applyFont="true"/>
    <xf numFmtId="0" fontId="1699" fillId="0" borderId="0" xfId="0" applyNumberFormat="true" applyFont="true"/>
    <xf numFmtId="0" fontId="1700" fillId="0" borderId="0" xfId="0" applyNumberFormat="true" applyFont="true"/>
    <xf numFmtId="0" fontId="1701" fillId="0" borderId="0" xfId="0" applyNumberFormat="true" applyFont="true"/>
    <xf numFmtId="0" fontId="1702" fillId="0" borderId="0" xfId="0" applyNumberFormat="true" applyFont="true"/>
    <xf numFmtId="0" fontId="1703" fillId="0" borderId="0" xfId="0" applyNumberFormat="true" applyFont="true"/>
    <xf numFmtId="0" fontId="1704" fillId="0" borderId="0" xfId="0" applyNumberFormat="true" applyFont="true"/>
    <xf numFmtId="0" fontId="1705" fillId="0" borderId="0" xfId="0" applyNumberFormat="true" applyFont="true"/>
    <xf numFmtId="0" fontId="1706" fillId="0" borderId="0" xfId="0" applyNumberFormat="true" applyFont="true"/>
    <xf numFmtId="0" fontId="1707" fillId="0" borderId="0" xfId="0" applyNumberFormat="true" applyFont="true"/>
    <xf numFmtId="0" fontId="1708" fillId="0" borderId="0" xfId="0" applyNumberFormat="true" applyFont="true"/>
    <xf numFmtId="0" fontId="1709" fillId="0" borderId="0" xfId="0" applyNumberFormat="true" applyFont="true"/>
    <xf numFmtId="0" fontId="1710" fillId="0" borderId="0" xfId="0" applyNumberFormat="true" applyFont="true"/>
    <xf numFmtId="0" fontId="1711" fillId="0" borderId="0" xfId="0" applyNumberFormat="true" applyFont="true"/>
    <xf numFmtId="0" fontId="1712" fillId="0" borderId="0" xfId="0" applyNumberFormat="true" applyFont="true"/>
    <xf numFmtId="0" fontId="1713" fillId="0" borderId="0" xfId="0" applyNumberFormat="true" applyFont="true"/>
    <xf numFmtId="0" fontId="1714" fillId="0" borderId="0" xfId="0" applyNumberFormat="true" applyFont="true"/>
    <xf numFmtId="171" fontId="1715" fillId="0" borderId="0" xfId="0" applyNumberFormat="true" applyFont="true"/>
    <xf numFmtId="49" fontId="1716" fillId="0" borderId="0" xfId="0" applyNumberFormat="true" applyFont="true"/>
    <xf numFmtId="0" fontId="1717" fillId="0" borderId="0" xfId="0" applyNumberFormat="true" applyFont="true"/>
    <xf numFmtId="0" fontId="1718" fillId="0" borderId="0" xfId="0" applyNumberFormat="true" applyFont="true"/>
    <xf numFmtId="0" fontId="1719" fillId="0" borderId="0" xfId="0" applyNumberFormat="true" applyFont="true"/>
    <xf numFmtId="0" fontId="1720" fillId="0" borderId="0" xfId="0" applyNumberFormat="true" applyFont="true"/>
    <xf numFmtId="0" fontId="1721" fillId="0" borderId="0" xfId="0" applyNumberFormat="true" applyFont="true"/>
    <xf numFmtId="0" fontId="1722" fillId="0" borderId="0" xfId="0" applyNumberFormat="true" applyFont="true"/>
    <xf numFmtId="0" fontId="1723" fillId="0" borderId="0" xfId="0" applyNumberFormat="true" applyFont="true"/>
    <xf numFmtId="49" fontId="1724" fillId="0" borderId="0" xfId="0" applyNumberFormat="true" applyFont="true"/>
    <xf numFmtId="0" fontId="1725" fillId="0" borderId="0" xfId="0" applyNumberFormat="true" applyFont="true"/>
    <xf numFmtId="0" fontId="1726" fillId="0" borderId="0" xfId="0" applyNumberFormat="true" applyFont="true"/>
    <xf numFmtId="0" fontId="1727" fillId="0" borderId="0" xfId="0" applyNumberFormat="true" applyFont="true"/>
    <xf numFmtId="0" fontId="1728" fillId="0" borderId="0" xfId="0" applyNumberFormat="true" applyFont="true"/>
    <xf numFmtId="0" fontId="1729" fillId="0" borderId="0" xfId="0" applyNumberFormat="true" applyFont="true"/>
    <xf numFmtId="0" fontId="1730" fillId="0" borderId="0" xfId="0" applyNumberFormat="true" applyFont="true"/>
    <xf numFmtId="171" fontId="1731" fillId="0" borderId="0" xfId="0" applyNumberFormat="true" applyFont="true"/>
    <xf numFmtId="49" fontId="1732" fillId="0" borderId="0" xfId="0" applyNumberFormat="true" applyFont="true"/>
    <xf numFmtId="174" fontId="1733" fillId="0" borderId="0" xfId="0" applyNumberFormat="true" applyFont="true"/>
    <xf numFmtId="0" fontId="1734" fillId="0" borderId="0" xfId="0" applyNumberFormat="true" applyFont="true"/>
    <xf numFmtId="0" fontId="1735" fillId="0" borderId="0" xfId="0" applyNumberFormat="true" applyFont="true"/>
    <xf numFmtId="0" fontId="1736" fillId="0" borderId="0" xfId="0" applyNumberFormat="true" applyFont="true"/>
    <xf numFmtId="0" fontId="1737" fillId="0" borderId="0" xfId="0" applyNumberFormat="true" applyFont="true"/>
    <xf numFmtId="0" fontId="1738" fillId="0" borderId="0" xfId="0" applyNumberFormat="true" applyFont="true"/>
    <xf numFmtId="171" fontId="1739" fillId="0" borderId="0" xfId="0" applyNumberFormat="true" applyFont="true"/>
    <xf numFmtId="49" fontId="1740" fillId="0" borderId="0" xfId="0" applyNumberFormat="true" applyFont="true"/>
    <xf numFmtId="0" fontId="1741" fillId="0" borderId="0" xfId="0" applyNumberFormat="true" applyFont="true"/>
    <xf numFmtId="0" fontId="1742" fillId="0" borderId="0" xfId="0" applyNumberFormat="true" applyFont="true"/>
    <xf numFmtId="0" fontId="1743" fillId="0" borderId="0" xfId="0" applyNumberFormat="true" applyFont="true"/>
    <xf numFmtId="0" fontId="1744" fillId="0" borderId="0" xfId="0" applyNumberFormat="true" applyFont="true"/>
    <xf numFmtId="0" fontId="1745" fillId="0" borderId="0" xfId="0" applyNumberFormat="true" applyFont="true"/>
    <xf numFmtId="0" fontId="1746" fillId="0" borderId="0" xfId="0" applyNumberFormat="true" applyFont="true"/>
    <xf numFmtId="171" fontId="1747" fillId="0" borderId="0" xfId="0" applyNumberFormat="true" applyFont="true"/>
    <xf numFmtId="49" fontId="1748" fillId="0" borderId="0" xfId="0" applyNumberFormat="true" applyFont="true"/>
    <xf numFmtId="0" fontId="1749" fillId="0" borderId="0" xfId="0" applyNumberFormat="true" applyFont="true"/>
    <xf numFmtId="0" fontId="1750" fillId="0" borderId="0" xfId="0" applyNumberFormat="true" applyFont="true"/>
    <xf numFmtId="0" fontId="1751" fillId="0" borderId="0" xfId="0" applyNumberFormat="true" applyFont="true"/>
    <xf numFmtId="0" fontId="1752" fillId="0" borderId="0" xfId="0" applyNumberFormat="true" applyFont="true"/>
    <xf numFmtId="0" fontId="1753" fillId="0" borderId="0" xfId="0" applyNumberFormat="true" applyFont="true"/>
    <xf numFmtId="0" fontId="1754" fillId="0" borderId="0" xfId="0" applyNumberFormat="true" applyFont="true"/>
    <xf numFmtId="171" fontId="1755" fillId="0" borderId="0" xfId="0" applyNumberFormat="true" applyFont="true"/>
    <xf numFmtId="49" fontId="1756" fillId="0" borderId="0" xfId="0" applyNumberFormat="true" applyFont="true"/>
    <xf numFmtId="0" fontId="1757" fillId="0" borderId="0" xfId="0" applyNumberFormat="true" applyFont="true"/>
    <xf numFmtId="0" fontId="1758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95088</xdr:colOff>
      <xdr:row>2</xdr:row>
      <xdr:rowOff>66675</xdr:rowOff>
    </xdr:from>
    <xdr:to>
      <xdr:col>5</xdr:col>
      <xdr:colOff>323040</xdr:colOff>
      <xdr:row>4</xdr:row>
      <xdr:rowOff>200025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088" y="66675"/>
          <a:ext cx="2894952" cy="609600"/>
        </a:xfrm>
        <a:prstGeom prst="rect">
          <a:avLst/>
        </a:prstGeom>
      </xdr:spPr>
    </xdr:pic>
    <xdr:clientData/>
  </xdr:twoCellAnchor>
  <xdr:twoCellAnchor editAs="twoCell">
    <xdr:from>
      <xdr:col>1</xdr:col>
      <xdr:colOff>85563</xdr:colOff>
      <xdr:row>6</xdr:row>
      <xdr:rowOff>133350</xdr:rowOff>
    </xdr:from>
    <xdr:to>
      <xdr:col>5</xdr:col>
      <xdr:colOff>313515</xdr:colOff>
      <xdr:row>10</xdr:row>
      <xdr:rowOff>19050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85563" y="133350"/>
          <a:ext cx="2894952" cy="609600"/>
        </a:xfrm>
        <a:prstGeom prst="rect">
          <a:avLst/>
        </a:prstGeom>
      </xdr:spPr>
    </xdr:pic>
    <xdr:clientData/>
  </xdr:twoCellAnchor>
  <xdr:twoCellAnchor editAs="absolute">
    <xdr:from>
      <xdr:col>8</xdr:col>
      <xdr:colOff>27280</xdr:colOff>
      <xdr:row>2</xdr:row>
      <xdr:rowOff>114300</xdr:rowOff>
    </xdr:from>
    <xdr:to>
      <xdr:col>11</xdr:col>
      <xdr:colOff>588949</xdr:colOff>
      <xdr:row>4</xdr:row>
      <xdr:rowOff>247650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27280" y="114300"/>
          <a:ext cx="2895294" cy="609600"/>
        </a:xfrm>
        <a:prstGeom prst="rect">
          <a:avLst/>
        </a:prstGeom>
      </xdr:spPr>
    </xdr:pic>
    <xdr:clientData/>
  </xdr:twoCellAnchor>
  <xdr:twoCellAnchor editAs="oneCell">
    <xdr:from>
      <xdr:col>8</xdr:col>
      <xdr:colOff>360655</xdr:colOff>
      <xdr:row>6</xdr:row>
      <xdr:rowOff>133350</xdr:rowOff>
    </xdr:from>
    <xdr:to>
      <xdr:col>12</xdr:col>
      <xdr:colOff>255413</xdr:colOff>
      <xdr:row>10</xdr:row>
      <xdr:rowOff>19050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360655" y="133350"/>
          <a:ext cx="2895133" cy="609600"/>
        </a:xfrm>
        <a:prstGeom prst="rect">
          <a:avLst/>
        </a:prstGeom>
      </xdr:spPr>
    </xdr:pic>
    <xdr:clientData/>
  </xdr:twoCellAnchor>
</xdr:wsDr>
</file>

<file path=xl/worksheets/_rels/sheet6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6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4.25" customHeight="true" baseColWidth="10"/>
  <cols>
    <col min="1" max="1" width="18.7109375" customWidth="true"/>
    <col min="3" max="3" width="21.8515625" customWidth="true"/>
    <col min="4" max="4" width="18.28125" customWidth="true"/>
    <col min="5" max="5" width="19.42578125" customWidth="true"/>
    <col min="6" max="6" width="17.42578125" customWidth="true"/>
    <col min="7" max="7" width="19.7109375" customWidth="true"/>
    <col min="8" max="8" width="18.7109375" customWidth="true"/>
    <col min="9" max="9" width="18.28125" customWidth="true"/>
    <col min="10" max="10" width="19.99609375" customWidth="true"/>
    <col min="11" max="11" width="20.56640625" customWidth="true"/>
  </cols>
  <sheetData>
    <row r="1" ht="15.0" customHeight="true">
      <c r="A1" t="n" s="1">
        <v>1.0</v>
      </c>
      <c r="B1" t="n" s="2">
        <v>2.0</v>
      </c>
      <c r="C1" t="n" s="3">
        <v>3.0</v>
      </c>
      <c r="D1" t="n" s="4">
        <f>Formula!D3+Formula!D4</f>
        <v>0.0</v>
      </c>
      <c r="E1" s="5"/>
      <c r="F1" s="6"/>
      <c r="G1" s="7"/>
      <c r="H1" s="8"/>
      <c r="I1" s="9"/>
      <c r="J1" s="10"/>
      <c r="K1" s="11"/>
    </row>
    <row r="2" ht="15.0" customHeight="true">
      <c r="A2" t="s" s="12">
        <v>0</v>
      </c>
      <c r="B2" s="13"/>
      <c r="C2" s="14"/>
      <c r="D2" s="15"/>
      <c r="E2" s="16"/>
      <c r="F2" s="17"/>
      <c r="G2" s="18"/>
      <c r="H2" s="19"/>
      <c r="I2" s="20"/>
      <c r="J2" s="21"/>
      <c r="K2" s="22"/>
    </row>
    <row r="3" ht="15.0" customHeight="true">
      <c r="A3" s="23"/>
      <c r="B3" s="24"/>
      <c r="C3" s="25"/>
      <c r="D3" s="26"/>
      <c r="E3" s="27"/>
      <c r="F3" s="28"/>
      <c r="G3" s="29"/>
      <c r="H3" s="30"/>
      <c r="I3" s="31"/>
      <c r="J3" s="32"/>
      <c r="K3" s="33"/>
    </row>
    <row r="4" ht="15.0" customHeight="true">
      <c r="A4" t="s" s="34">
        <v>1</v>
      </c>
      <c r="B4" s="35"/>
      <c r="C4" s="36"/>
      <c r="D4" s="37"/>
      <c r="E4" s="38"/>
      <c r="F4" s="39"/>
      <c r="G4" s="40"/>
      <c r="H4" s="41"/>
      <c r="I4" s="42"/>
      <c r="J4" s="43"/>
      <c r="K4" s="44"/>
    </row>
    <row r="5" ht="15.0" customHeight="true">
      <c r="A5" s="45"/>
      <c r="B5" s="46"/>
      <c r="C5" s="47"/>
      <c r="D5" s="48"/>
      <c r="E5" s="49"/>
      <c r="F5" s="50"/>
      <c r="G5" s="51"/>
      <c r="H5" s="52"/>
      <c r="I5" s="53"/>
      <c r="J5" s="54"/>
      <c r="K5" s="55"/>
    </row>
    <row r="6" ht="15.0" customHeight="true">
      <c r="A6" t="s" s="56">
        <v>2</v>
      </c>
      <c r="B6" s="57"/>
      <c r="C6" s="58"/>
      <c r="D6" s="59"/>
      <c r="E6" s="60"/>
      <c r="F6" s="61"/>
      <c r="G6" s="62"/>
      <c r="H6" s="63"/>
      <c r="I6" s="64"/>
      <c r="J6" s="65"/>
      <c r="K6" s="66"/>
    </row>
    <row r="7" ht="15.0" customHeight="true">
      <c r="A7" s="67"/>
      <c r="B7" s="68"/>
      <c r="C7" s="69"/>
      <c r="D7" s="70"/>
      <c r="E7" s="71"/>
      <c r="F7" s="72"/>
      <c r="G7" s="73"/>
      <c r="H7" s="74"/>
      <c r="I7" s="75"/>
      <c r="J7" s="76"/>
      <c r="K7" s="77"/>
      <c r="L7" s="0"/>
    </row>
    <row r="8" ht="15.0" customHeight="true">
      <c r="A8" s="78"/>
      <c r="B8" s="79"/>
      <c r="C8" s="80"/>
      <c r="D8" s="81"/>
      <c r="E8" s="82"/>
      <c r="F8" s="83"/>
      <c r="G8" s="84"/>
      <c r="H8" s="85"/>
      <c r="I8" s="86"/>
      <c r="J8" s="87"/>
      <c r="K8" s="88"/>
    </row>
    <row r="9" ht="15.0" customHeight="true">
      <c r="A9" s="89"/>
      <c r="B9" s="90"/>
      <c r="C9" s="91"/>
      <c r="D9" s="92"/>
      <c r="E9" s="93"/>
      <c r="F9" s="94"/>
      <c r="G9" s="95"/>
      <c r="H9" s="96"/>
      <c r="I9" s="97"/>
      <c r="J9" s="98"/>
      <c r="K9" s="99"/>
    </row>
    <row r="10" ht="15.0" customHeight="true">
      <c r="A10" s="100"/>
      <c r="B10" s="101"/>
      <c r="C10" s="102"/>
      <c r="D10" s="103"/>
      <c r="E10" s="104"/>
      <c r="F10" s="105"/>
      <c r="G10" s="106"/>
      <c r="H10" s="107"/>
      <c r="I10" s="108"/>
      <c r="J10" s="109"/>
      <c r="K10" s="110"/>
    </row>
    <row r="11" ht="15.0" customHeight="true">
      <c r="A11" s="111"/>
      <c r="B11" s="112"/>
      <c r="C11" s="113"/>
      <c r="D11" s="114"/>
      <c r="E11" s="115"/>
      <c r="F11" s="116"/>
      <c r="G11" s="117"/>
      <c r="H11" s="118"/>
      <c r="I11" s="119"/>
      <c r="J11" s="120"/>
      <c r="K11" s="121"/>
    </row>
    <row r="12" ht="15.0" customHeight="true">
      <c r="A12" s="122"/>
      <c r="B12" s="123"/>
      <c r="C12" s="124"/>
      <c r="D12" s="125"/>
      <c r="E12" s="126"/>
      <c r="F12" s="127"/>
      <c r="G12" s="128"/>
      <c r="H12" s="129"/>
      <c r="I12" s="130"/>
      <c r="J12" s="131"/>
      <c r="K12" s="132"/>
    </row>
    <row r="13" ht="15.0" customHeight="true">
      <c r="A13" s="133"/>
      <c r="B13" s="134"/>
      <c r="C13" s="135"/>
      <c r="D13" s="136"/>
      <c r="E13" s="137"/>
      <c r="F13" s="138"/>
      <c r="G13" s="139"/>
      <c r="H13" s="140"/>
      <c r="I13" s="141"/>
      <c r="J13" s="142"/>
      <c r="K13" s="143"/>
    </row>
    <row r="14" ht="15.0" customHeight="true">
      <c r="A14" s="144"/>
      <c r="B14" s="145"/>
      <c r="C14" s="146"/>
      <c r="D14" s="147"/>
      <c r="E14" s="148"/>
      <c r="F14" s="149"/>
      <c r="G14" s="150"/>
      <c r="H14" s="151"/>
      <c r="I14" s="152"/>
      <c r="J14" s="153"/>
      <c r="K14" s="154"/>
    </row>
    <row r="15" ht="15.0" customHeight="true">
      <c r="A15" t="s" s="155">
        <v>3</v>
      </c>
      <c r="B15" s="156"/>
      <c r="C15" s="157"/>
      <c r="D15" s="158"/>
      <c r="E15" s="159"/>
      <c r="F15" s="160"/>
      <c r="G15" s="161"/>
      <c r="H15" s="162"/>
      <c r="I15" s="163"/>
      <c r="J15" s="164"/>
      <c r="K15" s="165"/>
    </row>
    <row r="16" ht="15.0" customHeight="true">
      <c r="A16" s="166"/>
      <c r="B16" s="167"/>
      <c r="C16" s="168"/>
      <c r="D16" s="169"/>
      <c r="E16" s="170"/>
      <c r="F16" s="171"/>
      <c r="G16" s="172"/>
      <c r="H16" s="173"/>
      <c r="I16" s="174"/>
      <c r="J16" s="175"/>
      <c r="K16" s="176"/>
      <c r="L16" s="177"/>
      <c r="M16" s="178"/>
    </row>
    <row r="17" ht="15.0" customHeight="true">
      <c r="A17" s="179"/>
      <c r="B17" s="180"/>
      <c r="C17" s="181"/>
      <c r="D17" s="182"/>
      <c r="E17" s="183"/>
      <c r="F17" s="184"/>
      <c r="G17" s="185"/>
      <c r="H17" s="186"/>
      <c r="I17" s="187"/>
      <c r="J17" s="188"/>
      <c r="K17" s="189"/>
      <c r="L17" s="190"/>
      <c r="M17" s="191"/>
    </row>
    <row r="18" ht="23.25" customHeight="true">
      <c r="A18" t="s" s="192">
        <v>4</v>
      </c>
      <c r="B18" s="193"/>
      <c r="C18" t="s" s="194">
        <v>5</v>
      </c>
      <c r="D18" t="s" s="195">
        <v>5</v>
      </c>
      <c r="E18" t="s" s="196">
        <v>5</v>
      </c>
      <c r="F18" t="s" s="197">
        <v>5</v>
      </c>
      <c r="G18" t="s" s="198">
        <v>5</v>
      </c>
      <c r="H18" t="s" s="199">
        <v>5</v>
      </c>
      <c r="I18" s="200"/>
      <c r="J18" s="201"/>
      <c r="K18" s="202"/>
      <c r="L18" s="203"/>
      <c r="M18" s="204"/>
    </row>
    <row r="19" ht="15.0" customHeight="true">
      <c r="A19" s="205"/>
      <c r="B19" s="206"/>
      <c r="C19" s="207"/>
      <c r="D19" s="208"/>
      <c r="E19" s="209"/>
      <c r="F19" s="210"/>
      <c r="G19" s="211"/>
      <c r="H19" s="212"/>
      <c r="I19" s="213"/>
      <c r="J19" s="214"/>
      <c r="K19" s="215"/>
      <c r="L19" s="216"/>
      <c r="M19" s="217"/>
    </row>
    <row r="20" ht="15.0" customHeight="true">
      <c r="A20" s="218"/>
      <c r="B20" s="219"/>
      <c r="C20" t="s" s="220">
        <v>5</v>
      </c>
      <c r="D20" t="s" s="221">
        <v>5</v>
      </c>
      <c r="E20" t="s" s="222">
        <v>5</v>
      </c>
      <c r="F20" t="s" s="223">
        <v>5</v>
      </c>
      <c r="G20" s="224"/>
      <c r="H20" s="225"/>
      <c r="I20" s="226"/>
      <c r="J20" s="227"/>
      <c r="K20" s="228"/>
    </row>
    <row r="21" ht="15.0" customHeight="true">
      <c r="A21" s="229"/>
      <c r="B21" s="230"/>
      <c r="C21" s="231"/>
      <c r="D21" s="232"/>
      <c r="E21" s="233"/>
      <c r="F21" s="234"/>
      <c r="G21" s="235"/>
      <c r="H21" s="236"/>
      <c r="I21" s="237"/>
      <c r="J21" s="238"/>
      <c r="K21" s="239"/>
    </row>
    <row r="22" ht="15.0" customHeight="true">
      <c r="A22" t="s" s="240">
        <v>6</v>
      </c>
      <c r="B22" s="241"/>
      <c r="C22" t="n" s="242">
        <v>0.25</v>
      </c>
      <c r="D22" t="n" s="243">
        <v>0.25</v>
      </c>
      <c r="E22" t="n" s="244">
        <v>0.25</v>
      </c>
      <c r="F22" t="n" s="245">
        <v>0.25</v>
      </c>
      <c r="G22" t="n" s="246">
        <v>0.25</v>
      </c>
      <c r="H22" s="247"/>
      <c r="I22" s="248"/>
      <c r="J22" s="249"/>
      <c r="K22" s="250"/>
    </row>
    <row r="23" ht="15.0" customHeight="true">
      <c r="A23" s="251"/>
      <c r="B23" s="252"/>
      <c r="C23" s="253"/>
      <c r="D23" s="254"/>
      <c r="E23" s="255"/>
      <c r="F23" s="256"/>
      <c r="G23" s="257"/>
      <c r="H23" s="258"/>
      <c r="I23" s="259"/>
      <c r="J23" s="260"/>
      <c r="K23" s="261"/>
    </row>
    <row r="24" ht="15.0" customHeight="true">
      <c r="A24" s="262"/>
      <c r="B24" s="263"/>
      <c r="C24" t="n" s="264">
        <v>0.25</v>
      </c>
      <c r="D24" t="n" s="265">
        <v>0.25</v>
      </c>
      <c r="E24" t="n" s="266">
        <v>44032.0</v>
      </c>
      <c r="F24" t="n" s="267">
        <v>44032.0</v>
      </c>
      <c r="G24" t="n" s="268">
        <v>44032.0</v>
      </c>
      <c r="H24" s="269"/>
      <c r="I24" s="270"/>
      <c r="J24" s="271"/>
      <c r="K24" s="272"/>
    </row>
    <row r="25" ht="15.0" customHeight="true">
      <c r="A25" s="273"/>
      <c r="B25" s="274"/>
      <c r="C25" s="275"/>
      <c r="D25" s="276"/>
      <c r="E25" s="277"/>
      <c r="F25" s="278"/>
      <c r="G25" s="279"/>
      <c r="H25" s="280"/>
      <c r="I25" s="281"/>
      <c r="J25" s="282"/>
      <c r="K25" s="283"/>
    </row>
    <row r="26" ht="59.25" customHeight="true">
      <c r="A26" t="s" s="284">
        <v>7</v>
      </c>
      <c r="B26" s="285"/>
      <c r="C26" t="s" s="286">
        <v>8</v>
      </c>
      <c r="D26" t="s" s="287">
        <v>9</v>
      </c>
      <c r="E26" t="s" s="288">
        <v>10</v>
      </c>
      <c r="F26" t="s" s="289">
        <v>11</v>
      </c>
      <c r="G26" t="s" s="290">
        <v>12</v>
      </c>
      <c r="H26" t="s" s="291">
        <v>13</v>
      </c>
      <c r="I26" t="s" s="292">
        <v>14</v>
      </c>
      <c r="J26" t="s" s="293">
        <v>15</v>
      </c>
      <c r="K26" t="s" s="294">
        <v>16</v>
      </c>
    </row>
    <row r="27" ht="15.0" customHeight="true">
      <c r="A27" s="295"/>
      <c r="B27" s="296"/>
      <c r="C27" s="297"/>
      <c r="D27" s="298"/>
      <c r="E27" s="299"/>
      <c r="F27" s="300"/>
      <c r="G27" s="301"/>
      <c r="H27" s="302"/>
      <c r="I27" s="303"/>
      <c r="J27" s="304"/>
      <c r="K27" s="305"/>
    </row>
    <row r="28" ht="15.0" customHeight="true">
      <c r="A28" s="306"/>
      <c r="B28" s="307"/>
      <c r="C28" s="308"/>
      <c r="D28" s="309"/>
      <c r="E28" s="310"/>
      <c r="F28" s="311"/>
      <c r="G28" s="312"/>
      <c r="H28" s="313"/>
      <c r="I28" s="314"/>
      <c r="J28" s="315"/>
      <c r="K28" s="316"/>
    </row>
    <row r="29" ht="60.0" customHeight="true">
      <c r="A29" t="s" s="317">
        <v>17</v>
      </c>
      <c r="B29" s="318"/>
      <c r="C29" t="s" s="319">
        <v>18</v>
      </c>
      <c r="D29" s="320"/>
      <c r="E29" s="321"/>
      <c r="F29" s="322"/>
      <c r="G29" s="323"/>
      <c r="H29" s="324"/>
      <c r="I29" s="325"/>
      <c r="J29" s="326"/>
      <c r="K29" s="327"/>
    </row>
    <row r="30" ht="27.0" customHeight="true">
      <c r="A30" t="s" s="328">
        <v>19</v>
      </c>
      <c r="C30" t="s" s="329">
        <v>20</v>
      </c>
      <c r="D30" t="s" s="330">
        <v>20</v>
      </c>
      <c r="E30" t="s" s="331">
        <v>20</v>
      </c>
      <c r="F30" t="s" s="332">
        <v>20</v>
      </c>
      <c r="G30" t="s" s="333">
        <v>20</v>
      </c>
    </row>
    <row r="31" hidden="true">
      <c r="A31" t="s" s="334">
        <v>21</v>
      </c>
    </row>
    <row r="32" hidden="true">
      <c r="A32" t="s" s="335">
        <v>22</v>
      </c>
    </row>
    <row r="34">
      <c r="A34" s="336"/>
    </row>
  </sheetData>
  <mergeCells count="4">
    <mergeCell ref="F14:F16"/>
    <mergeCell ref="H14:I16"/>
    <mergeCell ref="C15:D15"/>
    <mergeCell ref="K16:M1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39"/>
  <sheetViews>
    <sheetView workbookViewId="0" tabSelected="false">
      <pane ySplit="1.0" state="frozen" topLeftCell="A2" activePane="bottomLeft"/>
      <selection pane="bottomLeft"/>
    </sheetView>
  </sheetViews>
  <sheetFormatPr defaultRowHeight="14.25" customHeight="true" baseColWidth="10"/>
  <cols>
    <col min="1" max="1" width="15.8515625" customWidth="true"/>
    <col min="3" max="3" width="14.99609375" customWidth="true"/>
    <col min="4" max="4" width="11.7109375" customWidth="true"/>
    <col min="5" max="5" width="10.140625" customWidth="true"/>
    <col min="6" max="6" width="11.99609375" customWidth="true"/>
    <col min="7" max="7" width="17.56640625" customWidth="true"/>
    <col min="8" max="8" width="6.85546875" customWidth="true"/>
    <col min="9" max="9" width="27.421875" customWidth="true"/>
    <col min="10" max="10" width="8.0" customWidth="true"/>
    <col min="11" max="11" width="8.0" customWidth="true"/>
  </cols>
  <sheetData>
    <row r="1">
      <c r="A1" s="337"/>
      <c r="B1" s="338"/>
      <c r="C1" s="339"/>
      <c r="D1" s="340"/>
      <c r="E1" s="341"/>
      <c r="F1" s="342"/>
      <c r="G1" s="343"/>
      <c r="H1" s="344"/>
      <c r="I1" s="345"/>
      <c r="J1" s="346"/>
      <c r="K1" s="347"/>
    </row>
    <row r="2">
      <c r="A2" t="s" s="348">
        <v>23</v>
      </c>
      <c r="B2" s="349"/>
      <c r="C2" t="s" s="350">
        <v>24</v>
      </c>
      <c r="D2" t="s" s="351">
        <v>25</v>
      </c>
      <c r="E2" s="352"/>
      <c r="F2" s="353"/>
      <c r="G2" t="s" s="354">
        <v>26</v>
      </c>
      <c r="H2" s="355"/>
      <c r="I2" t="s" s="356">
        <v>27</v>
      </c>
      <c r="J2" t="n" s="357">
        <v>1.0</v>
      </c>
      <c r="K2" s="358"/>
    </row>
    <row r="3">
      <c r="A3" s="359"/>
      <c r="B3" s="360"/>
      <c r="C3" t="s" s="361">
        <v>28</v>
      </c>
      <c r="D3" t="n" s="362">
        <v>17.0</v>
      </c>
      <c r="E3" s="363"/>
      <c r="F3" s="364"/>
      <c r="G3" s="365"/>
      <c r="H3" s="366"/>
      <c r="I3" t="s" s="367">
        <v>29</v>
      </c>
      <c r="J3" t="n" s="368">
        <v>2.0</v>
      </c>
      <c r="K3" s="369"/>
    </row>
    <row r="4">
      <c r="A4" s="370"/>
      <c r="B4" s="371"/>
      <c r="C4" t="s" s="372">
        <v>30</v>
      </c>
      <c r="D4" t="n" s="373">
        <v>23.0</v>
      </c>
      <c r="E4" s="374"/>
      <c r="F4" s="375"/>
      <c r="G4" s="376"/>
      <c r="H4" s="377"/>
      <c r="I4" t="s" s="378">
        <v>31</v>
      </c>
      <c r="J4" t="n" s="379">
        <v>3.0</v>
      </c>
      <c r="K4" s="380"/>
    </row>
    <row r="5">
      <c r="A5" s="381"/>
      <c r="B5" s="382"/>
      <c r="C5" t="s" s="383">
        <v>32</v>
      </c>
      <c r="D5" t="n" s="384">
        <v>30.0</v>
      </c>
      <c r="E5" s="385"/>
      <c r="F5" s="386"/>
      <c r="G5" s="387"/>
      <c r="H5" s="388"/>
      <c r="I5" s="389"/>
      <c r="J5" s="390"/>
      <c r="K5" s="391"/>
    </row>
    <row r="6">
      <c r="A6" s="392"/>
      <c r="B6" s="393"/>
      <c r="C6" t="s" s="394">
        <v>33</v>
      </c>
      <c r="D6" t="n" s="395">
        <v>25.0</v>
      </c>
      <c r="E6" s="396"/>
      <c r="F6" s="397"/>
      <c r="G6" s="398"/>
      <c r="H6" s="399"/>
      <c r="I6" t="s" s="400">
        <v>34</v>
      </c>
      <c r="J6" t="s" s="401">
        <f>INDIRECT("I2")</f>
        <v>27</v>
      </c>
      <c r="K6" s="402"/>
    </row>
    <row r="7">
      <c r="A7" s="403"/>
      <c r="B7" s="404"/>
      <c r="C7" t="s" s="405">
        <v>35</v>
      </c>
      <c r="D7" t="n" s="406">
        <f>AVERAGE(D3:D6)</f>
        <v>23.75</v>
      </c>
      <c r="E7" s="407"/>
      <c r="F7" s="408"/>
      <c r="G7" s="409"/>
      <c r="H7" s="410"/>
      <c r="I7" t="s" s="411">
        <v>36</v>
      </c>
      <c r="J7" t="n" s="412">
        <f>INDIRECT(I2)</f>
        <v>1.0</v>
      </c>
      <c r="K7" s="413"/>
    </row>
    <row r="8">
      <c r="A8" s="414"/>
      <c r="B8" s="415"/>
      <c r="C8" t="s" s="416">
        <v>37</v>
      </c>
      <c r="D8" t="n" s="417">
        <f>MAX(D3:D6)</f>
        <v>30.0</v>
      </c>
      <c r="E8" s="418"/>
      <c r="F8" s="419"/>
      <c r="G8" s="420"/>
      <c r="H8" s="421"/>
      <c r="I8" t="s" s="422">
        <v>38</v>
      </c>
      <c r="J8" t="s" s="423">
        <f>INDIRECT("I"&amp;(1+2))</f>
        <v>29</v>
      </c>
      <c r="K8" s="424"/>
    </row>
    <row r="9">
      <c r="A9" s="425"/>
      <c r="B9" s="426"/>
      <c r="C9" t="s" s="427">
        <v>39</v>
      </c>
      <c r="D9" t="n" s="428">
        <f>MIN(D3:D6)</f>
        <v>17.0</v>
      </c>
      <c r="E9" s="429"/>
      <c r="F9" s="430"/>
      <c r="G9" s="431"/>
      <c r="H9" s="432"/>
      <c r="I9" t="s" s="433">
        <v>40</v>
      </c>
      <c r="J9" t="n" s="434">
        <f>INDIRECT(I4&amp;J3)</f>
        <v>1.0</v>
      </c>
      <c r="K9" s="435"/>
    </row>
    <row r="10">
      <c r="A10" s="436"/>
      <c r="B10" s="437"/>
      <c r="C10" s="438"/>
      <c r="D10" s="439"/>
      <c r="E10" s="440"/>
      <c r="F10" s="441"/>
      <c r="G10" s="442"/>
      <c r="H10" s="443"/>
      <c r="I10" t="s" s="444">
        <v>41</v>
      </c>
      <c r="J10" t="n" s="445">
        <f>INDIRECT("Formula!"&amp;I2)</f>
        <v>1.0</v>
      </c>
      <c r="K10" s="446"/>
    </row>
    <row r="11">
      <c r="A11" s="447"/>
      <c r="B11" s="448"/>
      <c r="C11" s="449"/>
      <c r="D11" s="450"/>
      <c r="E11" s="451"/>
      <c r="F11" s="452"/>
      <c r="G11" s="453"/>
      <c r="H11" s="454"/>
      <c r="I11" t="s" s="455">
        <v>42</v>
      </c>
      <c r="J11" t="s" s="456">
        <f>INDIRECT("Formula!I2")</f>
        <v>27</v>
      </c>
      <c r="K11" s="457"/>
    </row>
    <row r="12">
      <c r="A12" s="458"/>
      <c r="B12" s="459"/>
      <c r="C12" s="460"/>
      <c r="D12" s="461"/>
      <c r="E12" s="462"/>
      <c r="F12" s="463"/>
      <c r="G12" s="464"/>
      <c r="H12" s="465"/>
      <c r="I12" s="466"/>
      <c r="J12" s="467"/>
      <c r="K12" s="468"/>
    </row>
    <row r="13">
      <c r="A13" t="s" s="469">
        <v>43</v>
      </c>
      <c r="B13" s="470"/>
      <c r="C13" t="s" s="471">
        <v>44</v>
      </c>
      <c r="D13" s="472"/>
      <c r="E13" s="473"/>
      <c r="F13" s="474"/>
      <c r="G13" s="475"/>
      <c r="H13" s="476"/>
      <c r="I13" s="477"/>
      <c r="J13" s="478"/>
      <c r="K13" s="479"/>
    </row>
    <row r="14">
      <c r="A14" s="480"/>
      <c r="B14" s="481"/>
      <c r="C14" s="482"/>
      <c r="D14" t="s" s="483">
        <v>45</v>
      </c>
      <c r="E14" t="s" s="484">
        <v>46</v>
      </c>
      <c r="F14" t="s" s="485">
        <v>47</v>
      </c>
      <c r="G14" t="s" s="486">
        <v>48</v>
      </c>
      <c r="H14" t="s" s="487">
        <v>49</v>
      </c>
      <c r="I14" s="488"/>
      <c r="J14" s="489"/>
      <c r="K14" s="490"/>
    </row>
    <row r="15">
      <c r="A15" s="491"/>
      <c r="B15" s="492"/>
      <c r="C15" t="s" s="493">
        <v>50</v>
      </c>
      <c r="D15" t="n" s="494">
        <v>97.0</v>
      </c>
      <c r="E15" t="n" s="495">
        <v>61.0</v>
      </c>
      <c r="F15" t="n" s="496">
        <v>53.0</v>
      </c>
      <c r="G15" t="n" s="497">
        <v>43.0</v>
      </c>
      <c r="H15" t="n" s="498">
        <f>SUBTOTAL(9,OFFSET($D$15,ROW($D$15:$D$18)-ROW($D$15),1,3))</f>
        <v>207.0</v>
      </c>
      <c r="I15" s="499"/>
      <c r="J15" s="500"/>
      <c r="K15" s="501"/>
    </row>
    <row r="16">
      <c r="A16" s="502"/>
      <c r="B16" s="503"/>
      <c r="C16" t="s" s="504">
        <v>51</v>
      </c>
      <c r="D16" t="n" s="505">
        <v>65.0</v>
      </c>
      <c r="E16" t="n" s="506">
        <v>76.0</v>
      </c>
      <c r="F16" t="n" s="507">
        <v>65.0</v>
      </c>
      <c r="G16" t="n" s="508">
        <v>55.0</v>
      </c>
      <c r="H16" t="n" s="509">
        <f>SUBTOTAL(9,OFFSET(E15,ROW(E15:E18)-ROW(E15),1,3))</f>
        <v>182.0</v>
      </c>
      <c r="I16" s="510"/>
      <c r="J16" s="511"/>
      <c r="K16" s="512"/>
    </row>
    <row r="17">
      <c r="A17" s="513"/>
      <c r="B17" s="514"/>
      <c r="C17" t="s" s="515">
        <v>32</v>
      </c>
      <c r="D17" t="n" s="516">
        <v>55.0</v>
      </c>
      <c r="E17" t="n" s="517">
        <v>70.0</v>
      </c>
      <c r="F17" t="n" s="518">
        <v>64.0</v>
      </c>
      <c r="G17" t="n" s="519">
        <v>54.0</v>
      </c>
      <c r="H17" t="n" s="520">
        <f>SUBTOTAL(9,OFFSET(F15,ROW(F15:F18)-ROW(F15),1,3))</f>
        <v>152.0</v>
      </c>
      <c r="I17" s="521"/>
      <c r="J17" s="522"/>
      <c r="K17" s="523"/>
    </row>
    <row r="18">
      <c r="A18" s="524"/>
      <c r="B18" s="525"/>
      <c r="C18" t="s" s="526">
        <v>28</v>
      </c>
      <c r="D18" t="n" s="527">
        <v>89.0</v>
      </c>
      <c r="E18" t="n" s="528">
        <v>77.0</v>
      </c>
      <c r="F18" t="n" s="529">
        <v>73.0</v>
      </c>
      <c r="G18" t="n" s="530">
        <v>73.0</v>
      </c>
      <c r="H18" t="n" s="531">
        <f>SUBTOTAL(9,OFFSET(G15,ROW(G15:G18)-ROW(G15),1,3))</f>
        <v>541.0</v>
      </c>
      <c r="I18" s="532"/>
      <c r="J18" s="533"/>
      <c r="K18" s="534"/>
    </row>
    <row r="19">
      <c r="A19" s="535"/>
      <c r="B19" s="536"/>
      <c r="C19" s="537"/>
      <c r="D19" s="538"/>
      <c r="E19" s="539"/>
      <c r="F19" s="540"/>
      <c r="G19" s="541"/>
      <c r="H19" s="542"/>
      <c r="I19" s="543"/>
      <c r="J19" s="544"/>
      <c r="K19" s="545"/>
    </row>
    <row r="20">
      <c r="A20" s="546"/>
      <c r="B20" s="547"/>
      <c r="C20" t="s" s="548">
        <v>52</v>
      </c>
      <c r="D20" s="549"/>
      <c r="E20" s="550"/>
      <c r="F20" s="551"/>
      <c r="G20" s="552"/>
      <c r="H20" s="553"/>
      <c r="I20" s="554"/>
      <c r="J20" s="555"/>
      <c r="K20" s="556"/>
    </row>
    <row r="21">
      <c r="A21" s="557"/>
      <c r="B21" s="558"/>
      <c r="C21" t="s" s="559">
        <v>53</v>
      </c>
      <c r="D21" t="s" s="560">
        <v>53</v>
      </c>
      <c r="E21" s="561"/>
      <c r="F21" s="562"/>
      <c r="G21" s="563"/>
      <c r="H21" s="564"/>
      <c r="I21" s="565"/>
      <c r="J21" s="566"/>
      <c r="K21" s="567"/>
    </row>
    <row r="22">
      <c r="A22" s="568"/>
      <c r="B22" s="569"/>
      <c r="C22" t="s" s="570">
        <v>54</v>
      </c>
      <c r="D22" t="s" s="571">
        <v>55</v>
      </c>
      <c r="E22" s="572"/>
      <c r="F22" s="573"/>
      <c r="G22" s="574"/>
      <c r="H22" s="575"/>
      <c r="I22" s="576"/>
      <c r="J22" s="577"/>
      <c r="K22" s="578"/>
    </row>
    <row r="23">
      <c r="A23" s="579"/>
      <c r="B23" s="580"/>
      <c r="C23" t="s" s="581">
        <v>55</v>
      </c>
      <c r="D23" t="s" s="582">
        <v>56</v>
      </c>
      <c r="E23" s="583"/>
      <c r="F23" s="584"/>
      <c r="G23" t="s" s="585">
        <v>57</v>
      </c>
      <c r="H23" s="586"/>
      <c r="I23" t="s" s="587">
        <f>INDEX(D21:D25,MATCH("dumpling",D21:D25),1)</f>
        <v>58</v>
      </c>
      <c r="J23" s="588"/>
      <c r="K23" s="589"/>
    </row>
    <row r="24">
      <c r="A24" s="590"/>
      <c r="B24" s="591"/>
      <c r="C24" t="s" s="592">
        <v>59</v>
      </c>
      <c r="D24" t="s" s="593">
        <v>56</v>
      </c>
      <c r="E24" s="594"/>
      <c r="F24" s="595"/>
      <c r="G24" t="s" s="596">
        <v>60</v>
      </c>
      <c r="H24" s="597"/>
      <c r="I24" t="b" s="598">
        <f>ISNA(MATCH(D21:D25,C21:C27,0))</f>
        <v>0</v>
      </c>
      <c r="J24" s="599"/>
      <c r="K24" s="600"/>
    </row>
    <row r="25">
      <c r="A25" s="601"/>
      <c r="B25" s="602"/>
      <c r="C25" t="s" s="603">
        <v>56</v>
      </c>
      <c r="D25" t="s" s="604">
        <v>58</v>
      </c>
      <c r="E25" s="605"/>
      <c r="F25" s="606"/>
      <c r="G25" s="607"/>
      <c r="H25" s="608"/>
      <c r="I25" s="609"/>
      <c r="J25" s="610"/>
      <c r="K25" s="611"/>
    </row>
    <row r="26">
      <c r="A26" s="612"/>
      <c r="B26" s="613"/>
      <c r="C26" t="s" s="614">
        <v>61</v>
      </c>
      <c r="D26" s="615"/>
      <c r="E26" s="616"/>
      <c r="F26" s="617"/>
      <c r="G26" s="618"/>
      <c r="H26" s="619"/>
      <c r="I26" s="620"/>
      <c r="J26" s="621"/>
      <c r="K26" s="622"/>
    </row>
    <row r="27">
      <c r="A27" s="623"/>
      <c r="B27" s="624"/>
      <c r="C27" t="s" s="625">
        <v>62</v>
      </c>
      <c r="D27" s="626"/>
      <c r="E27" s="627"/>
      <c r="F27" s="628"/>
      <c r="G27" s="629"/>
      <c r="H27" s="630"/>
      <c r="I27" s="631"/>
      <c r="J27" s="632"/>
      <c r="K27" s="633"/>
    </row>
    <row r="28">
      <c r="A28" s="634"/>
      <c r="B28" s="635"/>
      <c r="C28" s="636"/>
      <c r="D28" s="637"/>
      <c r="E28" s="638"/>
      <c r="F28" s="639"/>
      <c r="G28" s="640"/>
      <c r="H28" s="641"/>
      <c r="I28" s="642"/>
      <c r="J28" s="643"/>
      <c r="K28" s="644"/>
    </row>
    <row r="29">
      <c r="A29" s="645"/>
      <c r="B29" s="646"/>
      <c r="C29" t="s" s="647">
        <v>63</v>
      </c>
      <c r="D29" s="648"/>
      <c r="E29" s="649"/>
      <c r="F29" s="650"/>
      <c r="G29" s="651"/>
      <c r="H29" s="652"/>
      <c r="I29" s="653"/>
      <c r="J29" s="654"/>
      <c r="K29" s="655"/>
    </row>
    <row r="30">
      <c r="A30" s="656"/>
      <c r="B30" s="657"/>
      <c r="C30" t="s" s="658">
        <v>64</v>
      </c>
      <c r="D30" t="s" s="659">
        <v>65</v>
      </c>
      <c r="E30" t="s" s="660">
        <v>66</v>
      </c>
      <c r="F30" s="661"/>
      <c r="G30" t="s" s="662">
        <v>67</v>
      </c>
      <c r="H30" s="663"/>
      <c r="I30" s="664"/>
      <c r="J30" s="665"/>
      <c r="K30" s="666"/>
    </row>
    <row r="31">
      <c r="A31" s="667"/>
      <c r="B31" s="668"/>
      <c r="C31" t="s" s="669">
        <v>68</v>
      </c>
      <c r="D31" t="s" s="670">
        <v>69</v>
      </c>
      <c r="E31" t="n" s="671">
        <v>1.0</v>
      </c>
      <c r="F31" s="672"/>
      <c r="G31" t="n" s="673">
        <f>SUM((C31:C39="Fax")*(D31:D39="Brown")*(E31:E39))</f>
        <v>61.0</v>
      </c>
      <c r="H31" s="674"/>
      <c r="I31" s="675"/>
      <c r="J31" s="676"/>
      <c r="K31" s="677"/>
    </row>
    <row r="32">
      <c r="A32" s="678"/>
      <c r="B32" s="679"/>
      <c r="C32" t="s" s="680">
        <v>70</v>
      </c>
      <c r="D32" t="s" s="681">
        <v>71</v>
      </c>
      <c r="E32" t="n" s="682">
        <v>10.0</v>
      </c>
      <c r="F32" s="683"/>
      <c r="G32" t="s" s="684">
        <v>72</v>
      </c>
      <c r="H32" s="685"/>
      <c r="I32" s="686"/>
      <c r="J32" s="687"/>
      <c r="K32" s="688"/>
    </row>
    <row r="33">
      <c r="A33" s="689"/>
      <c r="B33" s="690"/>
      <c r="C33" t="s" s="691">
        <v>68</v>
      </c>
      <c r="D33" t="s" s="692">
        <v>73</v>
      </c>
      <c r="E33" t="n" s="693">
        <v>20.0</v>
      </c>
      <c r="F33" s="694"/>
      <c r="G33" t="n" s="695">
        <f>SUM((C31:C39="Fax")*(D31:D39="Brown"))</f>
        <v>2.0</v>
      </c>
      <c r="H33" s="696"/>
      <c r="I33" s="697"/>
      <c r="J33" s="698"/>
      <c r="K33" s="699"/>
    </row>
    <row r="34">
      <c r="A34" s="700"/>
      <c r="B34" s="701"/>
      <c r="C34" t="s" s="702">
        <v>68</v>
      </c>
      <c r="D34" t="s" s="703">
        <v>71</v>
      </c>
      <c r="E34" t="n" s="704">
        <v>30.0</v>
      </c>
      <c r="F34" s="705"/>
      <c r="G34" t="s" s="706">
        <v>74</v>
      </c>
      <c r="H34" s="707"/>
      <c r="I34" s="708"/>
      <c r="J34" s="709"/>
      <c r="K34" s="710"/>
    </row>
    <row r="35">
      <c r="A35" s="711"/>
      <c r="B35" s="712"/>
      <c r="C35" t="s" s="713">
        <v>70</v>
      </c>
      <c r="D35" t="s" s="714">
        <v>73</v>
      </c>
      <c r="E35" t="n" s="715">
        <v>40.0</v>
      </c>
      <c r="F35" s="716"/>
      <c r="G35" t="n" s="717">
        <f>SUM(IF((C31:C39="Fax")+(D31:D39="Jones"),1,0))</f>
        <v>1.0</v>
      </c>
      <c r="H35" s="718"/>
      <c r="I35" s="719"/>
      <c r="J35" s="720"/>
      <c r="K35" s="721"/>
    </row>
    <row r="36">
      <c r="A36" s="722"/>
      <c r="B36" s="723"/>
      <c r="C36" t="s" s="724">
        <v>75</v>
      </c>
      <c r="D36" t="s" s="725">
        <v>71</v>
      </c>
      <c r="E36" t="n" s="726">
        <v>50.0</v>
      </c>
      <c r="F36" s="727"/>
      <c r="G36" t="s" s="728">
        <v>76</v>
      </c>
      <c r="H36" s="729"/>
      <c r="I36" s="730"/>
      <c r="J36" s="731"/>
      <c r="K36" s="732"/>
    </row>
    <row r="37">
      <c r="A37" s="733"/>
      <c r="B37" s="734"/>
      <c r="C37" t="s" s="735">
        <v>68</v>
      </c>
      <c r="D37" t="s" s="736">
        <v>69</v>
      </c>
      <c r="E37" t="n" s="737">
        <v>60.0</v>
      </c>
      <c r="F37" s="738"/>
      <c r="G37" t="n" s="739">
        <f>SUM(IF(MOD((C31:C39="Fax")+(D31:D39="Jones"),2),1,0))</f>
        <v>1.0</v>
      </c>
      <c r="H37" s="740"/>
      <c r="I37" s="741"/>
      <c r="J37" s="742"/>
      <c r="K37" s="743"/>
    </row>
    <row r="38">
      <c r="A38" s="744"/>
      <c r="B38" s="745"/>
      <c r="C38" t="s" s="746">
        <v>70</v>
      </c>
      <c r="D38" t="s" s="747">
        <v>77</v>
      </c>
      <c r="E38" t="n" s="748">
        <v>70.0</v>
      </c>
      <c r="F38" s="749"/>
      <c r="G38" t="s" s="750">
        <v>78</v>
      </c>
      <c r="H38" s="751"/>
      <c r="I38" s="752"/>
      <c r="J38" s="753"/>
      <c r="K38" s="754"/>
    </row>
    <row r="39">
      <c r="A39" s="755"/>
      <c r="B39" s="756"/>
      <c r="C39" t="s" s="757">
        <v>75</v>
      </c>
      <c r="D39" t="s" s="758">
        <v>73</v>
      </c>
      <c r="E39" t="n" s="759">
        <v>80.0</v>
      </c>
      <c r="F39" s="760"/>
      <c r="G39" t="n" s="761">
        <f>SUM(IF((C31:C39="Fax")+(D31:D39="Jones")&lt;&gt;2,1,0))</f>
        <v>1.0</v>
      </c>
      <c r="H39" s="762"/>
      <c r="I39" s="763"/>
      <c r="J39" s="764"/>
      <c r="K39" s="765"/>
    </row>
  </sheetData>
  <mergeCells count="11">
    <mergeCell ref="C13:H13"/>
    <mergeCell ref="C20:H20"/>
    <mergeCell ref="G21:K21"/>
    <mergeCell ref="G23:H23"/>
    <mergeCell ref="G24:H24"/>
    <mergeCell ref="C29:H29"/>
    <mergeCell ref="G32:I32"/>
    <mergeCell ref="G34:I34"/>
    <mergeCell ref="G36:I36"/>
    <mergeCell ref="G38:I38"/>
    <mergeCell ref="G30:I3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0"/>
  <sheetViews>
    <sheetView workbookViewId="0" tabSelected="false"/>
  </sheetViews>
  <sheetFormatPr defaultRowHeight="14.25" customHeight="true" baseColWidth="10"/>
  <cols>
    <col min="1" max="1" width="4.28515625" customWidth="true"/>
    <col min="2" max="2" width="4.28515625" customWidth="true"/>
    <col min="3" max="3" width="12.28125" customWidth="true"/>
    <col min="4" max="4" width="12.140625" customWidth="true"/>
    <col min="5" max="5" width="13.140625" customWidth="true"/>
    <col min="6" max="6" width="13.28125" customWidth="true"/>
    <col min="7" max="7" width="14.28125" customWidth="true"/>
    <col min="8" max="8" width="14.28125" customWidth="true"/>
    <col min="9" max="9" width="14.140625" customWidth="true"/>
    <col min="10" max="10" width="12.85546875" customWidth="true"/>
    <col min="11" max="11" width="13.7109375" customWidth="true"/>
    <col min="12" max="12" width="13.7109375" customWidth="true"/>
  </cols>
  <sheetData>
    <row r="1" ht="15.0" customHeight="true">
      <c r="A1" s="766"/>
      <c r="B1" s="767"/>
      <c r="C1" s="768"/>
      <c r="D1" s="769"/>
      <c r="E1" s="770"/>
      <c r="F1" s="771"/>
      <c r="G1" s="772"/>
      <c r="H1" s="773"/>
      <c r="I1" s="774"/>
      <c r="J1" s="775"/>
      <c r="K1" s="776"/>
      <c r="L1" s="777"/>
    </row>
    <row r="2" ht="15.0" customHeight="true">
      <c r="A2" s="778"/>
      <c r="B2" s="779"/>
      <c r="C2" t="s" s="780">
        <v>79</v>
      </c>
      <c r="D2" s="781"/>
      <c r="E2" t="s" s="782">
        <v>80</v>
      </c>
      <c r="F2" s="783"/>
      <c r="G2" t="s" s="784">
        <v>81</v>
      </c>
      <c r="H2" s="785"/>
      <c r="I2" t="s" s="786">
        <v>82</v>
      </c>
      <c r="J2" s="787"/>
      <c r="K2" t="s" s="788">
        <v>83</v>
      </c>
      <c r="L2" s="789"/>
    </row>
    <row r="3" ht="15.0" customHeight="true">
      <c r="A3" s="790"/>
      <c r="B3" s="791"/>
      <c r="C3" t="n" s="792">
        <v>0.0</v>
      </c>
      <c r="D3" s="793"/>
      <c r="E3" t="s" s="794">
        <v>84</v>
      </c>
      <c r="F3" s="795"/>
      <c r="G3" t="n" s="796">
        <v>50.0</v>
      </c>
      <c r="H3" s="797"/>
      <c r="I3" t="n" s="798">
        <v>50.0</v>
      </c>
      <c r="J3" s="799"/>
      <c r="K3" t="n" s="800">
        <v>44033.77921296296</v>
      </c>
      <c r="L3" s="801"/>
    </row>
    <row r="4" ht="15.0" customHeight="true">
      <c r="A4" s="802"/>
      <c r="B4" s="803"/>
      <c r="C4" t="n" s="804">
        <v>1.0</v>
      </c>
      <c r="D4" s="805"/>
      <c r="E4" t="s" s="806">
        <v>85</v>
      </c>
      <c r="F4" s="807"/>
      <c r="G4" t="n" s="808">
        <v>50.0</v>
      </c>
      <c r="H4" s="809"/>
      <c r="I4" t="n" s="810">
        <v>50.0</v>
      </c>
      <c r="J4" s="811"/>
      <c r="K4" t="n" s="812">
        <v>44034.77921296296</v>
      </c>
      <c r="L4" s="813"/>
    </row>
    <row r="5" ht="15.0" customHeight="true">
      <c r="A5" s="814"/>
      <c r="B5" s="815"/>
      <c r="C5" t="n" s="816">
        <v>2.0</v>
      </c>
      <c r="D5" s="817"/>
      <c r="E5" t="s" s="818">
        <v>86</v>
      </c>
      <c r="F5" s="819"/>
      <c r="G5" t="n" s="820">
        <v>11.0</v>
      </c>
      <c r="H5" s="821"/>
      <c r="I5" t="n" s="822">
        <v>11.0</v>
      </c>
      <c r="J5" s="823"/>
      <c r="K5" t="n" s="824">
        <v>44039.77921296296</v>
      </c>
      <c r="L5" s="825"/>
    </row>
    <row r="6" ht="15.0" customHeight="true">
      <c r="A6" s="826"/>
      <c r="B6" s="827"/>
      <c r="C6" t="n" s="828">
        <v>3.0</v>
      </c>
      <c r="D6" s="829"/>
      <c r="E6" t="s" s="830">
        <v>87</v>
      </c>
      <c r="F6" s="831"/>
      <c r="G6" t="n" s="832">
        <v>5.0</v>
      </c>
      <c r="H6" s="833"/>
      <c r="I6" t="n" s="834">
        <v>5.0</v>
      </c>
      <c r="J6" s="835"/>
      <c r="K6" t="n" s="836">
        <v>44040.77921296296</v>
      </c>
      <c r="L6" s="837"/>
    </row>
    <row r="7" ht="15.0" customHeight="true">
      <c r="A7" s="838"/>
      <c r="B7" s="839"/>
      <c r="C7" t="n" s="840">
        <v>4.0</v>
      </c>
      <c r="D7" s="841"/>
      <c r="E7" t="s" s="842">
        <v>88</v>
      </c>
      <c r="F7" s="843"/>
      <c r="G7" t="n" s="844">
        <v>50.0</v>
      </c>
      <c r="H7" s="845"/>
      <c r="I7" t="n" s="846">
        <v>50.0</v>
      </c>
      <c r="J7" s="847"/>
      <c r="K7" t="n" s="848">
        <v>44047.77921296296</v>
      </c>
      <c r="L7" s="849"/>
    </row>
    <row r="8" ht="15.0" customHeight="true">
      <c r="A8" s="850"/>
      <c r="B8" s="851"/>
      <c r="C8" t="n" s="852">
        <v>5.0</v>
      </c>
      <c r="D8" s="853"/>
      <c r="E8" t="s" s="854">
        <v>89</v>
      </c>
      <c r="F8" s="855"/>
      <c r="G8" t="n" s="856">
        <v>120.0</v>
      </c>
      <c r="H8" s="857"/>
      <c r="I8" t="n" s="858">
        <v>120.0</v>
      </c>
      <c r="J8" s="859"/>
      <c r="K8" t="n" s="860">
        <v>44055.77921296296</v>
      </c>
      <c r="L8" s="861"/>
    </row>
    <row r="9" ht="15.0" customHeight="true">
      <c r="A9" s="862"/>
      <c r="B9" s="863"/>
      <c r="C9" s="864"/>
      <c r="D9" s="865"/>
      <c r="E9" s="866"/>
      <c r="F9" s="867"/>
      <c r="G9" s="868"/>
      <c r="H9" s="869"/>
      <c r="I9" s="870"/>
      <c r="J9" s="871"/>
      <c r="K9" s="872"/>
      <c r="L9" s="873"/>
    </row>
    <row r="10" ht="15.0" customHeight="true">
      <c r="A10" s="874"/>
      <c r="B10" s="875"/>
      <c r="C10" t="s" s="876">
        <v>90</v>
      </c>
      <c r="D10" s="877"/>
      <c r="E10" t="s" s="878">
        <v>91</v>
      </c>
      <c r="F10" s="879"/>
      <c r="G10" t="s" s="880">
        <v>92</v>
      </c>
      <c r="I10" t="s" s="881">
        <v>93</v>
      </c>
      <c r="J10" s="882"/>
      <c r="K10" t="s" s="883">
        <v>94</v>
      </c>
      <c r="L10" s="884"/>
    </row>
    <row r="11" ht="15.0" customHeight="true">
      <c r="A11" s="885"/>
      <c r="B11" s="886"/>
      <c r="C11" t="n" s="887">
        <v>0.0</v>
      </c>
      <c r="D11" s="888"/>
      <c r="E11" t="n" s="889">
        <v>1.0</v>
      </c>
      <c r="F11" s="890"/>
      <c r="G11" t="n" s="891">
        <v>1.0</v>
      </c>
      <c r="I11" t="n" s="892">
        <v>1.0</v>
      </c>
      <c r="J11" s="893"/>
      <c r="K11" t="n" s="894">
        <v>1.0</v>
      </c>
      <c r="L11" s="895"/>
    </row>
    <row r="12" ht="15.0" customHeight="true">
      <c r="A12" s="896"/>
      <c r="B12" s="897"/>
      <c r="C12" t="n" s="898">
        <v>1.0</v>
      </c>
      <c r="D12" s="899"/>
      <c r="E12" t="n" s="900">
        <v>50.0</v>
      </c>
      <c r="F12" s="901"/>
      <c r="G12" t="n" s="902">
        <v>50.0</v>
      </c>
      <c r="I12" t="n" s="903">
        <v>50.0</v>
      </c>
      <c r="J12" s="904"/>
      <c r="K12" t="n" s="905">
        <v>15.0</v>
      </c>
      <c r="L12" s="906"/>
    </row>
    <row r="13" ht="15.0" customHeight="true">
      <c r="A13" s="907"/>
      <c r="B13" s="908"/>
      <c r="C13" t="n" s="909">
        <v>2.0</v>
      </c>
      <c r="D13" s="910"/>
      <c r="E13" t="n" s="911">
        <v>100.0</v>
      </c>
      <c r="F13" s="912"/>
      <c r="G13" t="n" s="913">
        <v>100.0</v>
      </c>
      <c r="I13" t="n" s="914">
        <v>100.0</v>
      </c>
      <c r="J13" s="915"/>
      <c r="K13" t="n" s="916">
        <v>25.0</v>
      </c>
      <c r="L13" s="917"/>
    </row>
    <row r="14" ht="15.0" customHeight="true">
      <c r="A14" s="918"/>
      <c r="B14" s="919"/>
      <c r="C14" t="n" s="920">
        <v>3.0</v>
      </c>
      <c r="D14" s="921"/>
      <c r="E14" t="n" s="922">
        <v>2.0</v>
      </c>
      <c r="F14" s="923"/>
      <c r="G14" t="n" s="924">
        <v>2.0</v>
      </c>
      <c r="I14" t="n" s="925">
        <v>2.0</v>
      </c>
      <c r="J14" s="926"/>
      <c r="K14" t="n" s="927">
        <v>-1.0</v>
      </c>
      <c r="L14" s="928"/>
    </row>
    <row r="15" ht="15.0" customHeight="true">
      <c r="A15" s="929"/>
      <c r="B15" s="930"/>
      <c r="C15" t="n" s="931">
        <v>4.0</v>
      </c>
      <c r="D15" s="932"/>
      <c r="E15" t="n" s="933">
        <v>60.0</v>
      </c>
      <c r="F15" s="934"/>
      <c r="G15" t="n" s="935">
        <v>60.0</v>
      </c>
      <c r="I15" t="n" s="936">
        <v>60.0</v>
      </c>
      <c r="J15" s="937"/>
      <c r="K15" t="n" s="938">
        <v>-15.0</v>
      </c>
      <c r="L15" s="939"/>
    </row>
    <row r="16" ht="15.0" customHeight="true">
      <c r="A16" s="940"/>
      <c r="B16" s="941"/>
      <c r="C16" t="n" s="942">
        <v>5.0</v>
      </c>
      <c r="D16" s="943"/>
      <c r="E16" t="n" s="944">
        <v>3.0</v>
      </c>
      <c r="F16" s="945"/>
      <c r="G16" t="n" s="946">
        <v>3.0</v>
      </c>
      <c r="I16" t="n" s="947">
        <v>3.0</v>
      </c>
      <c r="J16" s="948"/>
      <c r="K16" t="n" s="949">
        <v>-25.0</v>
      </c>
      <c r="L16" s="950"/>
    </row>
    <row r="17" ht="15.0" customHeight="true">
      <c r="A17" s="951"/>
      <c r="B17" s="952"/>
      <c r="C17" s="953"/>
      <c r="D17" s="954"/>
      <c r="E17" s="955"/>
      <c r="F17" s="956"/>
      <c r="G17" s="957"/>
      <c r="H17" s="958"/>
      <c r="I17" s="959"/>
      <c r="J17" s="960"/>
      <c r="K17" s="961"/>
      <c r="L17" s="962"/>
    </row>
    <row r="18" ht="15.0" customHeight="true">
      <c r="A18" s="963"/>
      <c r="B18" s="964"/>
      <c r="C18" s="965"/>
      <c r="D18" s="966"/>
      <c r="E18" s="967"/>
      <c r="F18" s="968"/>
      <c r="G18" s="969"/>
      <c r="H18" s="970"/>
      <c r="I18" s="971"/>
      <c r="J18" s="972"/>
      <c r="K18" s="973"/>
      <c r="L18" s="974"/>
    </row>
    <row r="19" ht="15.0" customHeight="true">
      <c r="A19" s="975"/>
      <c r="B19" s="976"/>
      <c r="C19" t="s" s="977">
        <v>95</v>
      </c>
      <c r="D19" s="978"/>
      <c r="E19" s="979"/>
      <c r="F19" s="980"/>
      <c r="G19" s="981"/>
      <c r="H19" s="982"/>
      <c r="I19" s="983"/>
      <c r="J19" s="984"/>
      <c r="K19" s="985"/>
      <c r="L19" s="986"/>
    </row>
    <row r="20" ht="15.0" customHeight="true">
      <c r="A20" s="987"/>
      <c r="B20" s="988"/>
      <c r="C20" t="n" s="989">
        <v>-50.0</v>
      </c>
      <c r="D20" t="n" s="990">
        <v>-50.0</v>
      </c>
      <c r="E20" t="n" s="991">
        <v>-50.0</v>
      </c>
      <c r="F20" t="n" s="992">
        <v>-50.0</v>
      </c>
      <c r="G20" t="n" s="993">
        <v>-50.0</v>
      </c>
      <c r="H20" t="n" s="994">
        <v>-50.0</v>
      </c>
      <c r="I20" t="n" s="995">
        <v>-50.0</v>
      </c>
      <c r="J20" t="n" s="996">
        <v>-50.0</v>
      </c>
      <c r="K20" t="n" s="997">
        <v>-50.0</v>
      </c>
      <c r="L20" t="n" s="998">
        <v>-50.0</v>
      </c>
    </row>
    <row r="21" ht="15.0" customHeight="true">
      <c r="A21" s="999"/>
      <c r="B21" s="1000"/>
      <c r="C21" t="n" s="1001">
        <v>-25.0</v>
      </c>
      <c r="D21" t="n" s="1002">
        <v>-25.0</v>
      </c>
      <c r="E21" t="n" s="1003">
        <v>-25.0</v>
      </c>
      <c r="F21" t="n" s="1004">
        <v>-25.0</v>
      </c>
      <c r="G21" t="n" s="1005">
        <v>-25.0</v>
      </c>
      <c r="H21" t="n" s="1006">
        <v>-25.0</v>
      </c>
      <c r="I21" t="n" s="1007">
        <v>-25.0</v>
      </c>
      <c r="J21" t="n" s="1008">
        <v>-25.0</v>
      </c>
      <c r="K21" t="n" s="1009">
        <v>-25.0</v>
      </c>
      <c r="L21" t="n" s="1010">
        <v>-25.0</v>
      </c>
    </row>
    <row r="22" ht="15.0" customHeight="true">
      <c r="A22" s="1011"/>
      <c r="B22" s="1012"/>
      <c r="C22" t="n" s="1013">
        <v>0.0</v>
      </c>
      <c r="D22" t="n" s="1014">
        <v>0.0</v>
      </c>
      <c r="E22" t="n" s="1015">
        <v>0.0</v>
      </c>
      <c r="F22" t="n" s="1016">
        <v>0.0</v>
      </c>
      <c r="G22" t="n" s="1017">
        <v>0.0</v>
      </c>
      <c r="H22" t="n" s="1018">
        <v>0.0</v>
      </c>
      <c r="I22" t="n" s="1019">
        <v>0.0</v>
      </c>
      <c r="J22" t="n" s="1020">
        <v>0.0</v>
      </c>
      <c r="K22" t="n" s="1021">
        <v>0.0</v>
      </c>
      <c r="L22" t="n" s="1022">
        <v>0.0</v>
      </c>
    </row>
    <row r="23" ht="15.0" customHeight="true">
      <c r="A23" s="1023"/>
      <c r="B23" s="1024"/>
      <c r="C23" t="n" s="1025">
        <v>25.0</v>
      </c>
      <c r="D23" t="n" s="1026">
        <v>25.0</v>
      </c>
      <c r="E23" t="n" s="1027">
        <v>25.0</v>
      </c>
      <c r="F23" t="n" s="1028">
        <v>25.0</v>
      </c>
      <c r="G23" t="n" s="1029">
        <v>25.0</v>
      </c>
      <c r="H23" t="n" s="1030">
        <v>25.0</v>
      </c>
      <c r="I23" t="n" s="1031">
        <v>25.0</v>
      </c>
      <c r="J23" t="n" s="1032">
        <v>25.0</v>
      </c>
      <c r="K23" t="n" s="1033">
        <v>25.0</v>
      </c>
      <c r="L23" t="n" s="1034">
        <v>25.0</v>
      </c>
    </row>
    <row r="24" ht="15.0" customHeight="true">
      <c r="A24" s="1035"/>
      <c r="B24" s="1036"/>
      <c r="C24" t="n" s="1037">
        <v>50.0</v>
      </c>
      <c r="D24" t="n" s="1038">
        <v>50.0</v>
      </c>
      <c r="E24" t="n" s="1039">
        <v>50.0</v>
      </c>
      <c r="F24" t="n" s="1040">
        <v>50.0</v>
      </c>
      <c r="G24" t="n" s="1041">
        <v>50.0</v>
      </c>
      <c r="H24" t="n" s="1042">
        <v>50.0</v>
      </c>
      <c r="I24" t="n" s="1043">
        <v>50.0</v>
      </c>
      <c r="J24" t="n" s="1044">
        <v>50.0</v>
      </c>
      <c r="K24" t="n" s="1045">
        <v>50.0</v>
      </c>
      <c r="L24" t="n" s="1046">
        <v>50.0</v>
      </c>
    </row>
    <row r="25" ht="15.0" customHeight="true">
      <c r="A25" s="1047"/>
      <c r="B25" s="1048"/>
      <c r="C25" s="1049"/>
      <c r="D25" s="1050"/>
      <c r="E25" s="1051"/>
      <c r="F25" s="1052"/>
      <c r="G25" s="1053"/>
      <c r="H25" s="1054"/>
      <c r="I25" s="1055"/>
      <c r="J25" s="1056"/>
      <c r="K25" s="1057"/>
      <c r="L25" s="1058"/>
    </row>
    <row r="26" ht="15.0" customHeight="true">
      <c r="A26" s="1059"/>
      <c r="B26" s="1060"/>
      <c r="C26" t="n" s="1061">
        <v>-50.0</v>
      </c>
      <c r="D26" t="n" s="1062">
        <v>-50.0</v>
      </c>
      <c r="E26" t="n" s="1063">
        <v>-50.0</v>
      </c>
      <c r="F26" t="n" s="1064">
        <v>-50.0</v>
      </c>
      <c r="G26" t="n" s="1065">
        <v>-50.0</v>
      </c>
      <c r="H26" t="n" s="1066">
        <v>-50.0</v>
      </c>
      <c r="I26" t="n" s="1067">
        <v>-50.0</v>
      </c>
      <c r="J26" t="n" s="1068">
        <v>-50.0</v>
      </c>
      <c r="K26" t="n" s="1069">
        <v>-50.0</v>
      </c>
      <c r="L26" t="n" s="1070">
        <v>-50.0</v>
      </c>
    </row>
    <row r="27" ht="15.0" customHeight="true">
      <c r="A27" s="1071"/>
      <c r="B27" s="1072"/>
      <c r="C27" t="n" s="1073">
        <v>-25.0</v>
      </c>
      <c r="D27" t="n" s="1074">
        <v>-25.0</v>
      </c>
      <c r="E27" t="n" s="1075">
        <v>-25.0</v>
      </c>
      <c r="F27" t="n" s="1076">
        <v>-25.0</v>
      </c>
      <c r="G27" t="n" s="1077">
        <v>-25.0</v>
      </c>
      <c r="H27" t="n" s="1078">
        <v>-25.0</v>
      </c>
      <c r="I27" t="n" s="1079">
        <v>-25.0</v>
      </c>
      <c r="J27" t="n" s="1080">
        <v>-25.0</v>
      </c>
      <c r="K27" t="n" s="1081">
        <v>-25.0</v>
      </c>
      <c r="L27" t="n" s="1082">
        <v>-25.0</v>
      </c>
    </row>
    <row r="28" ht="15.0" customHeight="true">
      <c r="A28" s="1083"/>
      <c r="B28" s="1084"/>
      <c r="C28" t="n" s="1085">
        <v>0.0</v>
      </c>
      <c r="D28" t="n" s="1086">
        <v>0.0</v>
      </c>
      <c r="E28" t="n" s="1087">
        <v>0.0</v>
      </c>
      <c r="F28" t="n" s="1088">
        <v>0.0</v>
      </c>
      <c r="G28" t="n" s="1089">
        <v>0.0</v>
      </c>
      <c r="H28" t="n" s="1090">
        <v>0.0</v>
      </c>
      <c r="I28" t="n" s="1091">
        <v>0.0</v>
      </c>
      <c r="J28" t="n" s="1092">
        <v>0.0</v>
      </c>
      <c r="K28" t="n" s="1093">
        <v>0.0</v>
      </c>
      <c r="L28" t="n" s="1094">
        <v>0.0</v>
      </c>
    </row>
    <row r="29" ht="15.0" customHeight="true">
      <c r="A29" s="1095"/>
      <c r="B29" s="1096"/>
      <c r="C29" t="n" s="1097">
        <v>25.0</v>
      </c>
      <c r="D29" t="n" s="1098">
        <v>25.0</v>
      </c>
      <c r="E29" t="n" s="1099">
        <v>25.0</v>
      </c>
      <c r="F29" t="n" s="1100">
        <v>25.0</v>
      </c>
      <c r="G29" t="n" s="1101">
        <v>25.0</v>
      </c>
      <c r="H29" t="n" s="1102">
        <v>25.0</v>
      </c>
      <c r="I29" t="n" s="1103">
        <v>25.0</v>
      </c>
      <c r="J29" t="n" s="1104">
        <v>25.0</v>
      </c>
      <c r="K29" t="n" s="1105">
        <v>25.0</v>
      </c>
      <c r="L29" t="n" s="1106">
        <v>25.0</v>
      </c>
    </row>
    <row r="30" ht="15.0" customHeight="true">
      <c r="A30" s="1107"/>
      <c r="B30" s="1108"/>
      <c r="C30" t="n" s="1109">
        <v>50.0</v>
      </c>
      <c r="D30" t="n" s="1110">
        <v>50.0</v>
      </c>
      <c r="E30" t="n" s="1111">
        <v>50.0</v>
      </c>
      <c r="F30" t="n" s="1112">
        <v>50.0</v>
      </c>
      <c r="G30" t="n" s="1113">
        <v>50.0</v>
      </c>
      <c r="H30" t="n" s="1114">
        <v>50.0</v>
      </c>
      <c r="I30" t="n" s="1115">
        <v>50.0</v>
      </c>
      <c r="J30" t="n" s="1116">
        <v>50.0</v>
      </c>
      <c r="K30" t="n" s="1117">
        <v>50.0</v>
      </c>
      <c r="L30" t="n" s="1118">
        <v>50.0</v>
      </c>
    </row>
  </sheetData>
  <mergeCells count="17">
    <mergeCell ref="K9:L9"/>
    <mergeCell ref="C19:L19"/>
    <mergeCell ref="C25:L25"/>
    <mergeCell ref="K3:L3"/>
    <mergeCell ref="K4:L4"/>
    <mergeCell ref="K7:L7"/>
    <mergeCell ref="K8:L8"/>
    <mergeCell ref="K5:L5"/>
    <mergeCell ref="K6:L6"/>
    <mergeCell ref="K10:L10"/>
    <mergeCell ref="K11:L11"/>
    <mergeCell ref="K12:L12"/>
    <mergeCell ref="K13:L13"/>
    <mergeCell ref="K14:L14"/>
    <mergeCell ref="K15:L15"/>
    <mergeCell ref="K16:L16"/>
    <mergeCell ref="K2:L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1:M23"/>
  <sheetViews>
    <sheetView workbookViewId="0" tabSelected="false"/>
  </sheetViews>
  <sheetFormatPr defaultRowHeight="14.25" customHeight="true" baseColWidth="10"/>
  <sheetData>
    <row r="1">
      <c r="B1" t="s" s="1119">
        <v>96</v>
      </c>
      <c r="C1" s="1120"/>
      <c r="D1" s="1121"/>
      <c r="E1" s="1122"/>
      <c r="F1" s="1123"/>
      <c r="I1" t="s" s="1124">
        <v>97</v>
      </c>
      <c r="J1" s="1125"/>
      <c r="K1" s="1126"/>
      <c r="L1" s="1127"/>
      <c r="M1" s="1128"/>
    </row>
    <row r="2">
      <c r="B2" t="s" s="1129">
        <v>98</v>
      </c>
      <c r="C2" t="s" s="1130">
        <v>99</v>
      </c>
      <c r="D2" t="s" s="1131">
        <v>100</v>
      </c>
      <c r="E2" t="s" s="1132">
        <v>101</v>
      </c>
      <c r="F2" t="s" s="1133">
        <v>102</v>
      </c>
    </row>
    <row r="9">
      <c r="B9" t="s" s="1134">
        <v>103</v>
      </c>
      <c r="C9" s="1135"/>
      <c r="D9" s="1136"/>
      <c r="E9" s="1137"/>
      <c r="F9" s="1138"/>
      <c r="I9" t="s" s="1139">
        <v>104</v>
      </c>
      <c r="J9" s="1140"/>
      <c r="K9" s="1141"/>
      <c r="L9" s="1142"/>
      <c r="M9" s="1143"/>
    </row>
    <row r="10">
      <c r="B10" t="s" s="1144">
        <v>98</v>
      </c>
      <c r="C10" t="s" s="1145">
        <v>99</v>
      </c>
      <c r="D10" t="s" s="1146">
        <v>100</v>
      </c>
      <c r="E10" t="s" s="1147">
        <v>101</v>
      </c>
      <c r="F10" t="s" s="1148">
        <v>102</v>
      </c>
    </row>
    <row r="17">
      <c r="B17" t="s" s="1149">
        <v>105</v>
      </c>
      <c r="C17" s="1150"/>
      <c r="D17" s="1151"/>
      <c r="E17" s="1152"/>
      <c r="F17" s="1153"/>
      <c r="I17" t="s" s="1154">
        <v>106</v>
      </c>
      <c r="J17" s="1155"/>
      <c r="K17" s="1156"/>
      <c r="L17" s="1157"/>
      <c r="M17" s="1158"/>
    </row>
    <row r="18">
      <c r="B18" t="s" s="1159">
        <v>98</v>
      </c>
      <c r="C18" t="s" s="1160">
        <v>99</v>
      </c>
      <c r="D18" t="s" s="1161">
        <v>100</v>
      </c>
      <c r="E18" t="s" s="1162">
        <v>101</v>
      </c>
      <c r="F18" t="s" s="1163">
        <v>102</v>
      </c>
      <c r="I18" t="s" s="1164">
        <v>24</v>
      </c>
      <c r="J18" t="s" s="1165">
        <v>25</v>
      </c>
      <c r="K18" t="s" s="1166">
        <v>107</v>
      </c>
      <c r="L18" t="s" s="1167">
        <v>108</v>
      </c>
      <c r="M18" t="s" s="1168">
        <v>109</v>
      </c>
    </row>
    <row r="19">
      <c r="I19" t="s" s="1169">
        <v>110</v>
      </c>
      <c r="J19" t="n" s="1170">
        <v>36.0</v>
      </c>
      <c r="K19" t="s" s="1171">
        <v>111</v>
      </c>
      <c r="L19" t="s" s="1172">
        <v>112</v>
      </c>
      <c r="M19" t="n" s="1173">
        <v>80.0</v>
      </c>
    </row>
    <row r="20">
      <c r="I20" t="s" s="1174">
        <v>113</v>
      </c>
      <c r="J20" t="n" s="1175">
        <v>28.0</v>
      </c>
      <c r="K20" t="s" s="1176">
        <v>114</v>
      </c>
      <c r="L20" t="s" s="1177">
        <v>115</v>
      </c>
      <c r="M20" t="n" s="1178">
        <v>52.0</v>
      </c>
    </row>
    <row r="21">
      <c r="I21" t="s" s="1179">
        <v>116</v>
      </c>
      <c r="J21" t="n" s="1180">
        <v>23.0</v>
      </c>
      <c r="K21" t="s" s="1181">
        <v>111</v>
      </c>
      <c r="L21" t="s" s="1182">
        <v>117</v>
      </c>
      <c r="M21" t="n" s="1183">
        <v>63.0</v>
      </c>
    </row>
    <row r="22">
      <c r="I22" t="s" s="1184">
        <v>118</v>
      </c>
      <c r="J22" t="n" s="1185">
        <v>45.0</v>
      </c>
      <c r="K22" t="s" s="1186">
        <v>111</v>
      </c>
      <c r="L22" t="s" s="1187">
        <v>112</v>
      </c>
      <c r="M22" t="n" s="1188">
        <v>80.0</v>
      </c>
    </row>
    <row r="23">
      <c r="I23" t="s" s="1189">
        <v>119</v>
      </c>
      <c r="J23" t="n" s="1190">
        <v>37.0</v>
      </c>
      <c r="K23" t="s" s="1191">
        <v>114</v>
      </c>
      <c r="L23" t="s" s="1192">
        <v>120</v>
      </c>
      <c r="M23" t="n" s="1193">
        <v>58.0</v>
      </c>
    </row>
  </sheetData>
  <mergeCells count="6">
    <mergeCell ref="B1:F1"/>
    <mergeCell ref="I1:M1"/>
    <mergeCell ref="B9:F9"/>
    <mergeCell ref="B17:F17"/>
    <mergeCell ref="I9:M9"/>
    <mergeCell ref="I17:M17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58"/>
  <sheetViews>
    <sheetView workbookViewId="0" tabSelected="false"/>
  </sheetViews>
  <sheetFormatPr defaultRowHeight="14.25" customHeight="true" baseColWidth="10"/>
  <cols>
    <col min="1" max="1" width="14.42578125" customWidth="true"/>
    <col min="3" max="3" width="18.7109375" customWidth="true"/>
    <col min="4" max="4" width="4.28515625" customWidth="true"/>
    <col min="5" max="5" width="12.85546875" customWidth="true"/>
  </cols>
  <sheetData>
    <row r="1" ht="21.75" customHeight="true">
      <c r="A1" t="s" s="1194">
        <v>121</v>
      </c>
      <c r="B1" s="1195"/>
      <c r="C1" s="1196"/>
      <c r="D1" s="1197"/>
      <c r="E1" s="1198"/>
      <c r="F1" s="1199"/>
      <c r="J1" t="s" s="1200">
        <v>122</v>
      </c>
      <c r="K1" s="1201"/>
      <c r="L1" s="1202"/>
      <c r="M1" s="1203"/>
      <c r="N1" s="1204"/>
    </row>
    <row r="2" ht="15.0" customHeight="true">
      <c r="A2" t="s" s="1205">
        <v>123</v>
      </c>
      <c r="B2" t="s" s="1206">
        <v>124</v>
      </c>
      <c r="C2" t="s" s="1207">
        <v>125</v>
      </c>
      <c r="D2" s="1208"/>
      <c r="E2" t="s" s="1209">
        <v>126</v>
      </c>
      <c r="F2" s="1210"/>
      <c r="J2" s="1211"/>
      <c r="K2" t="s" s="1212">
        <v>127</v>
      </c>
      <c r="L2" t="s" s="1213">
        <v>128</v>
      </c>
      <c r="M2" t="s" s="1214">
        <v>129</v>
      </c>
      <c r="N2" s="1215"/>
    </row>
    <row r="3" ht="15.0" customHeight="true">
      <c r="A3" t="n" s="1216">
        <v>41671.0</v>
      </c>
      <c r="B3" t="n" s="1217">
        <v>30.0</v>
      </c>
      <c r="C3" s="1218"/>
      <c r="D3" s="1219"/>
      <c r="E3" s="1220"/>
      <c r="F3" s="1221"/>
      <c r="J3" t="s" s="1222">
        <v>130</v>
      </c>
      <c r="K3" t="n" s="1223">
        <v>5.0</v>
      </c>
      <c r="L3" t="n" s="1224">
        <v>3.7</v>
      </c>
      <c r="M3" s="1225">
        <f>STACKBARSPLINES(K3:L3)</f>
      </c>
      <c r="N3" s="1226"/>
    </row>
    <row r="4" ht="15.0" customHeight="true">
      <c r="A4" t="n" s="1227">
        <v>41699.0</v>
      </c>
      <c r="B4" t="n" s="1228">
        <v>-60.0</v>
      </c>
      <c r="C4" s="1229"/>
      <c r="D4" s="1230"/>
      <c r="E4" s="1231"/>
      <c r="F4" s="1232"/>
      <c r="J4" t="s" s="1233">
        <v>131</v>
      </c>
      <c r="K4" t="n" s="1234">
        <v>3.0</v>
      </c>
      <c r="L4" t="n" s="1235">
        <v>1.0</v>
      </c>
      <c r="M4" s="1236">
        <f>STACKBARSPLINES(K4:L4)</f>
      </c>
      <c r="N4" s="1237"/>
    </row>
    <row r="5" ht="15.0" customHeight="true">
      <c r="A5" t="n" s="1238">
        <v>41730.0</v>
      </c>
      <c r="B5" t="n" s="1239">
        <v>80.0</v>
      </c>
      <c r="C5" s="1240"/>
      <c r="D5" s="1241"/>
      <c r="E5" s="1242"/>
      <c r="F5" s="1243"/>
      <c r="J5" t="s" s="1244">
        <v>132</v>
      </c>
      <c r="K5" t="n" s="1245">
        <v>149.0</v>
      </c>
      <c r="L5" t="n" s="1246">
        <v>129.0</v>
      </c>
      <c r="M5" s="1247">
        <f>STACKBARSPLINES(K5:L5)</f>
      </c>
      <c r="N5" s="1248"/>
    </row>
    <row r="7" ht="21.75" customHeight="true">
      <c r="A7" t="s" s="1249">
        <v>133</v>
      </c>
      <c r="B7" s="1250"/>
      <c r="C7" s="1251"/>
      <c r="D7" s="1252"/>
      <c r="E7" s="1253"/>
      <c r="G7" t="s" s="1254">
        <v>134</v>
      </c>
      <c r="H7" s="1255"/>
      <c r="I7" s="1256"/>
      <c r="J7" s="1257"/>
      <c r="K7" s="1258"/>
      <c r="L7" s="1259"/>
      <c r="M7" s="1260"/>
      <c r="N7" s="1261"/>
    </row>
    <row r="8" ht="15.0" customHeight="true">
      <c r="A8" t="s" s="1262">
        <v>135</v>
      </c>
      <c r="B8" t="s" s="1263">
        <v>136</v>
      </c>
      <c r="C8" t="s" s="1264">
        <v>129</v>
      </c>
      <c r="D8" s="1265"/>
      <c r="E8" t="s" s="1266">
        <v>137</v>
      </c>
      <c r="G8" s="1267"/>
      <c r="H8" s="1268"/>
      <c r="I8" t="s" s="1269">
        <v>138</v>
      </c>
      <c r="J8" t="n" s="1270">
        <v>815.25</v>
      </c>
      <c r="K8" t="s" s="1271">
        <v>139</v>
      </c>
      <c r="L8" s="1272"/>
      <c r="M8" s="1273"/>
      <c r="N8" s="1274"/>
    </row>
    <row r="9" ht="15.0" customHeight="true">
      <c r="A9" t="s" s="1275">
        <v>140</v>
      </c>
      <c r="B9" t="n" s="1276">
        <v>25000.0</v>
      </c>
      <c r="C9" s="1277">
        <f>PIESPLINES(B9:B11)</f>
      </c>
      <c r="D9" s="1278"/>
      <c r="E9" t="n" s="1279">
        <f>B9/SUM(B9:B11)</f>
        <v>0.2631578947368421</v>
      </c>
      <c r="F9" s="1280"/>
      <c r="G9" t="s" s="1281">
        <v>141</v>
      </c>
      <c r="H9" s="1282"/>
      <c r="I9" t="s" s="1283">
        <v>142</v>
      </c>
      <c r="J9" t="n" s="1284">
        <v>-200.0</v>
      </c>
      <c r="K9" t="n" s="1285">
        <v>615.25</v>
      </c>
      <c r="L9" s="1286">
        <f>BARSPLINES(J9:J11)</f>
      </c>
      <c r="M9" s="1287"/>
      <c r="N9" s="1288"/>
    </row>
    <row r="10" ht="15.0" customHeight="true">
      <c r="A10" t="s" s="1289">
        <v>143</v>
      </c>
      <c r="B10" t="n" s="1290">
        <v>55000.0</v>
      </c>
      <c r="C10" s="1291"/>
      <c r="D10" s="1292"/>
      <c r="E10" t="n" s="1293">
        <f>B10/SUM(B9:B11)</f>
        <v>0.5789473684210527</v>
      </c>
      <c r="F10" s="1294"/>
      <c r="G10" t="s" s="1295">
        <v>144</v>
      </c>
      <c r="H10" s="1296"/>
      <c r="I10" t="s" s="1297">
        <v>145</v>
      </c>
      <c r="J10" t="n" s="1298">
        <v>1000.12</v>
      </c>
      <c r="K10" t="n" s="1299">
        <v>1615.37</v>
      </c>
      <c r="L10" s="1300"/>
      <c r="M10" s="1301"/>
      <c r="N10" s="1302"/>
    </row>
    <row r="11" ht="15.0" customHeight="true">
      <c r="A11" t="s" s="1303">
        <v>146</v>
      </c>
      <c r="B11" t="n" s="1304">
        <v>15000.0</v>
      </c>
      <c r="C11" s="1305"/>
      <c r="D11" s="1306"/>
      <c r="E11" t="n" s="1307">
        <f>B11/SUM(B9:B11)</f>
        <v>0.15789473684210525</v>
      </c>
      <c r="F11" s="1308"/>
      <c r="G11" t="s" s="1309">
        <v>147</v>
      </c>
      <c r="H11" s="1310"/>
      <c r="I11" t="s" s="1311">
        <v>148</v>
      </c>
      <c r="J11" t="n" s="1312">
        <v>-500.43</v>
      </c>
      <c r="K11" t="n" s="1313">
        <v>1114.94</v>
      </c>
      <c r="L11" s="1314"/>
      <c r="M11" s="1315"/>
      <c r="N11" s="1316"/>
    </row>
    <row r="13" ht="21.75" customHeight="true">
      <c r="A13" t="s" s="1317">
        <v>149</v>
      </c>
      <c r="B13" s="1318"/>
      <c r="C13" s="1319"/>
      <c r="D13" s="1320"/>
      <c r="E13" s="1321"/>
    </row>
    <row r="14" ht="21.75" customHeight="true">
      <c r="A14" t="s" s="1322">
        <v>150</v>
      </c>
      <c r="B14" t="s" s="1323">
        <v>151</v>
      </c>
      <c r="C14" t="s" s="1324">
        <v>129</v>
      </c>
      <c r="D14" s="1325"/>
      <c r="E14" s="1326"/>
      <c r="G14" t="s" s="1327">
        <v>152</v>
      </c>
      <c r="H14" s="1328"/>
      <c r="I14" s="1329"/>
      <c r="J14" s="1330"/>
      <c r="K14" s="1331"/>
      <c r="L14" s="1332"/>
      <c r="M14" s="1333"/>
      <c r="N14" s="1334"/>
    </row>
    <row r="15" ht="15.0" customHeight="true">
      <c r="A15" t="s" s="1335">
        <v>153</v>
      </c>
      <c r="B15" t="n" s="1336">
        <v>3500.0</v>
      </c>
      <c r="C15" s="1337">
        <f>AREASPLINES(B15:B18)</f>
      </c>
      <c r="D15" s="1338"/>
      <c r="E15" s="1339"/>
      <c r="G15" t="s" s="1340">
        <v>24</v>
      </c>
      <c r="H15" t="s" s="1341">
        <v>154</v>
      </c>
      <c r="I15" s="1342"/>
      <c r="J15" t="s" s="1343">
        <v>155</v>
      </c>
      <c r="K15" s="1344"/>
      <c r="L15" t="s" s="1345">
        <v>156</v>
      </c>
      <c r="M15" s="1346"/>
      <c r="N15" t="s" s="1347">
        <v>157</v>
      </c>
    </row>
    <row r="16" ht="15.0" customHeight="true">
      <c r="A16" t="s" s="1348">
        <v>158</v>
      </c>
      <c r="B16" t="n" s="1349">
        <v>7000.0</v>
      </c>
      <c r="C16" s="1350"/>
      <c r="D16" s="1351"/>
      <c r="E16" s="1352"/>
      <c r="G16" s="1353"/>
      <c r="H16" s="1354">
        <f>TRISTATESPLINES(H18:N22,10)</f>
      </c>
      <c r="I16" s="1355"/>
      <c r="J16" s="1356"/>
      <c r="K16" s="1357"/>
      <c r="L16" s="1358"/>
      <c r="M16" s="1359"/>
      <c r="N16" s="1360"/>
    </row>
    <row r="17" ht="19.5" customHeight="true">
      <c r="A17" t="s" s="1361">
        <v>159</v>
      </c>
      <c r="B17" t="n" s="1362">
        <v>2000.0</v>
      </c>
      <c r="C17" s="1363"/>
      <c r="D17" s="1364"/>
      <c r="E17" s="1365"/>
      <c r="G17" s="1366"/>
      <c r="H17" s="1367"/>
      <c r="I17" s="1368"/>
      <c r="J17" s="1369"/>
      <c r="K17" s="1370"/>
      <c r="L17" s="1371"/>
      <c r="M17" s="1372"/>
      <c r="N17" s="1373"/>
    </row>
    <row r="18" ht="15.0" customHeight="true">
      <c r="A18" t="s" s="1374">
        <v>160</v>
      </c>
      <c r="B18" t="n" s="1375">
        <v>5000.0</v>
      </c>
      <c r="C18" s="1376"/>
      <c r="D18" s="1377"/>
      <c r="E18" s="1378"/>
      <c r="G18" t="s" s="1379">
        <v>161</v>
      </c>
      <c r="H18" t="n" s="1380">
        <v>70.0</v>
      </c>
      <c r="I18" s="1381"/>
      <c r="J18" t="n" s="1382">
        <v>90.0</v>
      </c>
      <c r="K18" s="1383"/>
      <c r="L18" t="n" s="1384">
        <v>51.0</v>
      </c>
      <c r="M18" s="1385"/>
      <c r="N18" t="n" s="1386">
        <v>211.0</v>
      </c>
    </row>
    <row r="19" ht="15.0" customHeight="true">
      <c r="G19" t="s" s="1387">
        <v>162</v>
      </c>
      <c r="H19" t="n" s="1388">
        <v>99.0</v>
      </c>
      <c r="I19" s="1389"/>
      <c r="J19" t="n" s="1390">
        <v>-59.0</v>
      </c>
      <c r="K19" s="1391"/>
      <c r="L19" t="n" s="1392">
        <v>63.0</v>
      </c>
      <c r="M19" s="1393"/>
      <c r="N19" t="n" s="1394">
        <v>221.0</v>
      </c>
    </row>
    <row r="20" ht="21.75" customHeight="true">
      <c r="A20" s="1395"/>
      <c r="B20" s="1396"/>
      <c r="C20" s="1397"/>
      <c r="D20" s="1398"/>
      <c r="E20" s="1399"/>
      <c r="G20" t="s" s="1400">
        <v>163</v>
      </c>
      <c r="H20" t="n" s="1401">
        <v>-90.0</v>
      </c>
      <c r="I20" s="1402"/>
      <c r="J20" t="n" s="1403">
        <v>128.0</v>
      </c>
      <c r="K20" s="1404"/>
      <c r="L20" t="n" s="1405">
        <v>74.0</v>
      </c>
      <c r="M20" s="1406"/>
      <c r="N20" t="n" s="1407">
        <v>291.0</v>
      </c>
    </row>
    <row r="21" ht="21.75" customHeight="true">
      <c r="A21" t="s" s="1408">
        <v>164</v>
      </c>
      <c r="B21" s="1409"/>
      <c r="C21" s="1410"/>
      <c r="D21" s="1411"/>
      <c r="E21" s="1412"/>
      <c r="G21" t="s" s="1413">
        <v>165</v>
      </c>
      <c r="H21" t="n" s="1414">
        <v>93.0</v>
      </c>
      <c r="I21" s="1415"/>
      <c r="J21" t="n" s="1416">
        <v>61.0</v>
      </c>
      <c r="K21" s="1417"/>
      <c r="L21" t="n" s="1418">
        <v>53.0</v>
      </c>
      <c r="M21" s="1419"/>
      <c r="N21" t="n" s="1420">
        <v>207.0</v>
      </c>
    </row>
    <row r="22" ht="15.0" customHeight="true">
      <c r="A22" t="s" s="1421">
        <v>24</v>
      </c>
      <c r="B22" t="s" s="1422">
        <v>166</v>
      </c>
      <c r="C22" t="s" s="1423">
        <v>167</v>
      </c>
      <c r="D22" t="s" s="1424">
        <v>129</v>
      </c>
      <c r="E22" s="1425"/>
      <c r="G22" t="s" s="1426">
        <v>168</v>
      </c>
      <c r="H22" t="n" s="1427">
        <v>106.0</v>
      </c>
      <c r="I22" s="1428"/>
      <c r="J22" t="n" s="1429">
        <v>82.0</v>
      </c>
      <c r="K22" s="1430"/>
      <c r="L22" t="n" s="1431">
        <v>80.0</v>
      </c>
      <c r="M22" s="1432"/>
      <c r="N22" t="n" s="1433">
        <v>268.0</v>
      </c>
    </row>
    <row r="23" ht="15.0" customHeight="true">
      <c r="A23" t="s" s="1434">
        <v>169</v>
      </c>
      <c r="B23" t="n" s="1435">
        <v>6.0</v>
      </c>
      <c r="C23" t="n" s="1436">
        <v>2.0</v>
      </c>
      <c r="D23" s="1437">
        <f>STACKCOLUMNSPLINES(B23:C25)</f>
      </c>
      <c r="E23" s="1438"/>
    </row>
    <row r="24" ht="15.0" customHeight="true">
      <c r="A24" t="s" s="1439">
        <v>170</v>
      </c>
      <c r="B24" t="n" s="1440">
        <v>8.0</v>
      </c>
      <c r="C24" t="n" s="1441">
        <v>7.0</v>
      </c>
      <c r="D24" s="1442"/>
      <c r="E24" s="1443"/>
      <c r="F24" s="1444"/>
    </row>
    <row r="25" ht="15.0" customHeight="true">
      <c r="A25" t="s" s="1445">
        <v>171</v>
      </c>
      <c r="B25" t="n" s="1446">
        <v>6.0</v>
      </c>
      <c r="C25" t="n" s="1447">
        <v>3.0</v>
      </c>
      <c r="D25" s="1448"/>
      <c r="E25" s="1449"/>
    </row>
    <row r="26" ht="15.0" customHeight="true">
      <c r="A26" s="1450"/>
      <c r="B26" s="1451"/>
      <c r="C26" s="1452"/>
      <c r="D26" s="1453"/>
      <c r="E26" s="1454"/>
    </row>
    <row r="28" ht="75.0" customHeight="true">
      <c r="A28" t="n" s="1455">
        <v>42370.0</v>
      </c>
      <c r="B28" t="n" s="1456">
        <v>12.0</v>
      </c>
      <c r="C28" s="1457">
        <f>DISCRETESPLINES(B28:B58,30)</f>
      </c>
      <c r="D28" s="1458"/>
      <c r="E28" s="1459"/>
    </row>
    <row r="29" ht="15.0" customHeight="true">
      <c r="A29" t="n" s="1460">
        <v>42371.0</v>
      </c>
      <c r="B29" t="n" s="1461">
        <v>64.0</v>
      </c>
    </row>
    <row r="30" ht="15.0" customHeight="true">
      <c r="A30" t="n" s="1462">
        <v>42372.0</v>
      </c>
      <c r="B30" t="n" s="1463">
        <v>54.0</v>
      </c>
    </row>
    <row r="31" ht="15.0" customHeight="true">
      <c r="A31" t="n" s="1464">
        <v>42373.0</v>
      </c>
      <c r="B31" t="n" s="1465">
        <v>15.0</v>
      </c>
    </row>
    <row r="32" ht="15.0" customHeight="true">
      <c r="A32" t="n" s="1466">
        <v>42374.0</v>
      </c>
      <c r="B32" t="n" s="1467">
        <v>35.0</v>
      </c>
      <c r="F32" s="1468"/>
    </row>
    <row r="33" ht="15.0" customHeight="true">
      <c r="A33" t="n" s="1469">
        <v>42375.0</v>
      </c>
      <c r="B33" t="n" s="1470">
        <v>67.0</v>
      </c>
      <c r="C33" s="1471">
        <f>BARSPLINES(B22:B25)</f>
      </c>
      <c r="F33" s="1472"/>
    </row>
    <row r="34" ht="15.0" customHeight="true">
      <c r="A34" t="n" s="1473">
        <v>42376.0</v>
      </c>
      <c r="B34" t="n" s="1474">
        <v>16.0</v>
      </c>
      <c r="C34" s="1475">
        <f>STACKBARSPLINES(B22:B25)</f>
      </c>
      <c r="F34" s="1476"/>
    </row>
    <row r="35" ht="19.5" customHeight="true">
      <c r="A35" t="n" s="1477">
        <v>42377.0</v>
      </c>
      <c r="B35" t="n" s="1478">
        <v>87.0</v>
      </c>
      <c r="C35" s="1479">
        <f>DISCRETESPLINES(B22:B25)</f>
      </c>
      <c r="F35" s="1480"/>
      <c r="H35" s="1481"/>
    </row>
    <row r="36" ht="15.0" customHeight="true">
      <c r="A36" t="n" s="1482">
        <v>42378.0</v>
      </c>
      <c r="B36" t="n" s="1483">
        <v>64.0</v>
      </c>
      <c r="C36" s="1484">
        <f>TRISTATESPLINES(B22:B25)</f>
      </c>
    </row>
    <row r="37" ht="15.0" customHeight="true">
      <c r="A37" t="n" s="1485">
        <v>42379.0</v>
      </c>
      <c r="B37" t="n" s="1486">
        <v>88.0</v>
      </c>
      <c r="C37" s="1487"/>
    </row>
    <row r="38" ht="15.0" customHeight="true">
      <c r="A38" t="n" s="1488">
        <v>42380.0</v>
      </c>
      <c r="B38" t="n" s="1489">
        <v>25.0</v>
      </c>
    </row>
    <row r="39" ht="15.0" customHeight="true">
      <c r="A39" t="n" s="1490">
        <v>42381.0</v>
      </c>
      <c r="B39" t="n" s="1491">
        <v>96.0</v>
      </c>
    </row>
    <row r="40" ht="15.0" customHeight="true">
      <c r="A40" t="n" s="1492">
        <v>42382.0</v>
      </c>
      <c r="B40" t="n" s="1493">
        <v>53.0</v>
      </c>
    </row>
    <row r="41" ht="15.0" customHeight="true">
      <c r="A41" t="n" s="1494">
        <v>42383.0</v>
      </c>
      <c r="B41" t="n" s="1495">
        <v>94.0</v>
      </c>
    </row>
    <row r="42" ht="15.0" customHeight="true">
      <c r="A42" t="n" s="1496">
        <v>42384.0</v>
      </c>
      <c r="B42" t="n" s="1497">
        <v>23.0</v>
      </c>
    </row>
    <row r="43" ht="15.0" customHeight="true">
      <c r="A43" t="n" s="1498">
        <v>42385.0</v>
      </c>
      <c r="B43" t="n" s="1499">
        <v>85.0</v>
      </c>
    </row>
    <row r="44" ht="15.0" customHeight="true">
      <c r="A44" t="n" s="1500">
        <v>42386.0</v>
      </c>
      <c r="B44" t="n" s="1501">
        <v>89.0</v>
      </c>
    </row>
    <row r="45" ht="15.0" customHeight="true">
      <c r="A45" t="n" s="1502">
        <v>42387.0</v>
      </c>
      <c r="B45" t="n" s="1503">
        <v>8.0</v>
      </c>
    </row>
    <row r="46" ht="15.0" customHeight="true">
      <c r="A46" t="n" s="1504">
        <v>42388.0</v>
      </c>
      <c r="B46" t="n" s="1505">
        <v>98.0</v>
      </c>
    </row>
    <row r="47" ht="15.0" customHeight="true">
      <c r="A47" t="n" s="1506">
        <v>42389.0</v>
      </c>
      <c r="B47" t="n" s="1507">
        <v>82.0</v>
      </c>
    </row>
    <row r="48" ht="15.0" customHeight="true">
      <c r="A48" t="n" s="1508">
        <v>42390.0</v>
      </c>
      <c r="B48" t="n" s="1509">
        <v>79.0</v>
      </c>
    </row>
    <row r="49" ht="15.0" customHeight="true">
      <c r="A49" t="n" s="1510">
        <v>42391.0</v>
      </c>
      <c r="B49" t="n" s="1511">
        <v>54.0</v>
      </c>
    </row>
    <row r="50" ht="15.0" customHeight="true">
      <c r="A50" t="n" s="1512">
        <v>42392.0</v>
      </c>
      <c r="B50" t="n" s="1513">
        <v>56.0</v>
      </c>
    </row>
    <row r="51" ht="15.0" customHeight="true">
      <c r="A51" t="n" s="1514">
        <v>42393.0</v>
      </c>
      <c r="B51" t="n" s="1515">
        <v>10.0</v>
      </c>
    </row>
    <row r="52" ht="15.0" customHeight="true">
      <c r="A52" t="n" s="1516">
        <v>42394.0</v>
      </c>
      <c r="B52" t="n" s="1517">
        <v>36.0</v>
      </c>
    </row>
    <row r="53" ht="15.0" customHeight="true">
      <c r="A53" t="n" s="1518">
        <v>42395.0</v>
      </c>
      <c r="B53" t="n" s="1519">
        <v>0.0</v>
      </c>
    </row>
    <row r="54" ht="15.0" customHeight="true">
      <c r="A54" t="n" s="1520">
        <v>42396.0</v>
      </c>
      <c r="B54" t="n" s="1521">
        <v>4.0</v>
      </c>
    </row>
    <row r="55" ht="15.0" customHeight="true">
      <c r="A55" t="n" s="1522">
        <v>42397.0</v>
      </c>
      <c r="B55" t="n" s="1523">
        <v>31.0</v>
      </c>
    </row>
    <row r="56" ht="15.0" customHeight="true">
      <c r="A56" t="n" s="1524">
        <v>42398.0</v>
      </c>
      <c r="B56" t="n" s="1525">
        <v>19.0</v>
      </c>
    </row>
    <row r="57" ht="15.0" customHeight="true">
      <c r="A57" t="n" s="1526">
        <v>42399.0</v>
      </c>
      <c r="B57" t="n" s="1527">
        <v>22.0</v>
      </c>
    </row>
    <row r="58" ht="15.0" customHeight="true">
      <c r="A58" t="n" s="1528">
        <v>42400.0</v>
      </c>
      <c r="B58" t="n" s="1529">
        <v>78.0</v>
      </c>
    </row>
  </sheetData>
  <mergeCells count="49">
    <mergeCell ref="C2:D2"/>
    <mergeCell ref="E2:F2"/>
    <mergeCell ref="A1:F1"/>
    <mergeCell ref="C3:D5"/>
    <mergeCell ref="E3:F5"/>
    <mergeCell ref="A7:E7"/>
    <mergeCell ref="C8:D8"/>
    <mergeCell ref="C9:D11"/>
    <mergeCell ref="A13:E13"/>
    <mergeCell ref="C14:E14"/>
    <mergeCell ref="C15:E18"/>
    <mergeCell ref="A20:E20"/>
    <mergeCell ref="J1:N1"/>
    <mergeCell ref="M2:N2"/>
    <mergeCell ref="M3:N3"/>
    <mergeCell ref="M4:N4"/>
    <mergeCell ref="M5:N5"/>
    <mergeCell ref="G7:N7"/>
    <mergeCell ref="G8:H8"/>
    <mergeCell ref="L8:N8"/>
    <mergeCell ref="G9:H9"/>
    <mergeCell ref="G10:H10"/>
    <mergeCell ref="G11:H11"/>
    <mergeCell ref="L9:N11"/>
    <mergeCell ref="G14:M14"/>
    <mergeCell ref="H15:I15"/>
    <mergeCell ref="J15:K15"/>
    <mergeCell ref="L15:M15"/>
    <mergeCell ref="G16:G17"/>
    <mergeCell ref="H18:I18"/>
    <mergeCell ref="J18:K18"/>
    <mergeCell ref="L18:M18"/>
    <mergeCell ref="H19:I19"/>
    <mergeCell ref="J19:K19"/>
    <mergeCell ref="L19:M19"/>
    <mergeCell ref="H20:I20"/>
    <mergeCell ref="J20:K20"/>
    <mergeCell ref="L20:M20"/>
    <mergeCell ref="H21:I21"/>
    <mergeCell ref="J21:K21"/>
    <mergeCell ref="L21:M21"/>
    <mergeCell ref="H22:I22"/>
    <mergeCell ref="J22:K22"/>
    <mergeCell ref="L22:M22"/>
    <mergeCell ref="H16:N17"/>
    <mergeCell ref="A21:E21"/>
    <mergeCell ref="D22:E22"/>
    <mergeCell ref="D23:E25"/>
    <mergeCell ref="C28:E2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C3:C8"/>
  <sheetViews>
    <sheetView workbookViewId="0" tabSelected="false"/>
  </sheetViews>
  <sheetFormatPr defaultRowHeight="14.25" customHeight="true" baseColWidth="10"/>
  <cols>
    <col min="3" max="3" width="14.56640625" customWidth="true"/>
  </cols>
  <sheetData>
    <row r="3">
      <c r="C3" t="s" s="1530">
        <v>172</v>
      </c>
    </row>
    <row r="8">
      <c r="C8" t="s" s="1531">
        <v>173</v>
      </c>
    </row>
  </sheetData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>
  <dimension ref="A1:E13"/>
  <sheetViews>
    <sheetView workbookViewId="0" tabSelected="false"/>
  </sheetViews>
  <sheetFormatPr defaultRowHeight="14.25" customHeight="true" baseColWidth="10"/>
  <sheetData>
    <row r="1">
      <c r="A1" t="s" s="1532">
        <v>174</v>
      </c>
      <c r="B1" t="s" s="1533">
        <v>175</v>
      </c>
      <c r="C1" t="s" s="1534">
        <v>176</v>
      </c>
      <c r="D1" t="s" s="1535">
        <v>177</v>
      </c>
      <c r="E1" t="s" s="1536">
        <v>178</v>
      </c>
    </row>
    <row r="2">
      <c r="A2" t="s" s="1537">
        <v>179</v>
      </c>
      <c r="B2" t="s" s="1538">
        <v>180</v>
      </c>
      <c r="C2" t="s" s="1539">
        <v>181</v>
      </c>
      <c r="D2" t="s" s="1540">
        <v>156</v>
      </c>
      <c r="E2" t="n" s="1541">
        <v>96.0</v>
      </c>
    </row>
    <row r="3">
      <c r="A3" t="s" s="1542">
        <v>179</v>
      </c>
      <c r="B3" t="s" s="1543">
        <v>180</v>
      </c>
      <c r="C3" t="s" s="1544">
        <v>181</v>
      </c>
      <c r="D3" t="s" s="1545">
        <v>182</v>
      </c>
      <c r="E3" t="n" s="1546">
        <v>110.0</v>
      </c>
    </row>
    <row r="4">
      <c r="A4" t="s" s="1547">
        <v>179</v>
      </c>
      <c r="B4" t="s" s="1548">
        <v>180</v>
      </c>
      <c r="C4" t="s" s="1549">
        <v>181</v>
      </c>
      <c r="D4" t="s" s="1550">
        <v>183</v>
      </c>
      <c r="E4" t="n" s="1551">
        <v>87.0</v>
      </c>
    </row>
    <row r="5">
      <c r="A5" t="s" s="1552">
        <v>179</v>
      </c>
      <c r="B5" t="s" s="1553">
        <v>180</v>
      </c>
      <c r="C5" t="s" s="1554">
        <v>181</v>
      </c>
      <c r="D5" t="s" s="1555">
        <v>184</v>
      </c>
      <c r="E5" t="n" s="1556">
        <v>266.0</v>
      </c>
    </row>
    <row r="6">
      <c r="A6" t="s" s="1557">
        <v>179</v>
      </c>
      <c r="B6" t="s" s="1558">
        <v>185</v>
      </c>
      <c r="C6" t="s" s="1559">
        <v>181</v>
      </c>
      <c r="D6" t="s" s="1560">
        <v>156</v>
      </c>
      <c r="E6" t="n" s="1561">
        <v>92.0</v>
      </c>
    </row>
    <row r="7">
      <c r="A7" t="s" s="1562">
        <v>179</v>
      </c>
      <c r="B7" t="s" s="1563">
        <v>185</v>
      </c>
      <c r="C7" t="s" s="1564">
        <v>181</v>
      </c>
      <c r="D7" t="s" s="1565">
        <v>182</v>
      </c>
      <c r="E7" t="n" s="1566">
        <v>100.0</v>
      </c>
    </row>
    <row r="8">
      <c r="A8" t="s" s="1567">
        <v>179</v>
      </c>
      <c r="B8" t="s" s="1568">
        <v>185</v>
      </c>
      <c r="C8" t="s" s="1569">
        <v>181</v>
      </c>
      <c r="D8" t="s" s="1570">
        <v>183</v>
      </c>
      <c r="E8" t="n" s="1571">
        <v>90.0</v>
      </c>
    </row>
    <row r="9">
      <c r="A9" t="s" s="1572">
        <v>179</v>
      </c>
      <c r="B9" t="s" s="1573">
        <v>185</v>
      </c>
      <c r="C9" t="s" s="1574">
        <v>181</v>
      </c>
      <c r="D9" t="s" s="1575">
        <v>184</v>
      </c>
      <c r="E9" t="n" s="1576">
        <v>255.0</v>
      </c>
    </row>
    <row r="10">
      <c r="A10" t="s" s="1577">
        <v>179</v>
      </c>
      <c r="B10" t="s" s="1578">
        <v>48</v>
      </c>
      <c r="C10" t="s" s="1579">
        <v>181</v>
      </c>
      <c r="D10" t="s" s="1580">
        <v>156</v>
      </c>
      <c r="E10" t="n" s="1581">
        <v>108.0</v>
      </c>
    </row>
    <row r="11">
      <c r="A11" t="s" s="1582">
        <v>179</v>
      </c>
      <c r="B11" t="s" s="1583">
        <v>48</v>
      </c>
      <c r="C11" t="s" s="1584">
        <v>181</v>
      </c>
      <c r="D11" t="s" s="1585">
        <v>182</v>
      </c>
      <c r="E11" t="n" s="1586">
        <v>117.0</v>
      </c>
    </row>
    <row r="12">
      <c r="A12" t="s" s="1587">
        <v>179</v>
      </c>
      <c r="B12" t="s" s="1588">
        <v>48</v>
      </c>
      <c r="C12" t="s" s="1589">
        <v>181</v>
      </c>
      <c r="D12" t="s" s="1590">
        <v>183</v>
      </c>
      <c r="E12" t="n" s="1591">
        <v>88.0</v>
      </c>
    </row>
    <row r="13">
      <c r="A13" t="s" s="1592">
        <v>179</v>
      </c>
      <c r="B13" t="s" s="1593">
        <v>48</v>
      </c>
      <c r="C13" t="s" s="1594">
        <v>181</v>
      </c>
      <c r="D13" t="s" s="1595">
        <v>184</v>
      </c>
      <c r="E13" t="n" s="1596">
        <v>278.0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5"/>
  <sheetViews>
    <sheetView workbookViewId="0" tabSelected="false"/>
  </sheetViews>
  <sheetFormatPr defaultRowHeight="14.25" customHeight="true" baseColWidth="10"/>
  <sheetData>
    <row r="1">
      <c r="A1" t="s" s="1597">
        <v>186</v>
      </c>
      <c r="B1" t="s" s="1598">
        <v>184</v>
      </c>
      <c r="C1" t="s" s="1599">
        <v>182</v>
      </c>
      <c r="D1" t="s" s="1600">
        <v>183</v>
      </c>
      <c r="E1" t="s" s="1601">
        <v>156</v>
      </c>
      <c r="F1" t="s" s="1602">
        <v>187</v>
      </c>
    </row>
    <row r="2">
      <c r="A2" t="s" s="1603">
        <v>48</v>
      </c>
      <c r="B2" t="n" s="1604">
        <v>1.0</v>
      </c>
      <c r="C2" t="n" s="1605">
        <v>1.0</v>
      </c>
      <c r="D2" t="n" s="1606">
        <v>1.0</v>
      </c>
      <c r="E2" t="n" s="1607">
        <v>1.0</v>
      </c>
      <c r="F2" t="n" s="1608">
        <v>4.0</v>
      </c>
    </row>
    <row r="3">
      <c r="A3" t="s" s="1609">
        <v>180</v>
      </c>
      <c r="B3" t="n" s="1610">
        <v>1.0</v>
      </c>
      <c r="C3" t="n" s="1611">
        <v>1.0</v>
      </c>
      <c r="D3" t="n" s="1612">
        <v>1.0</v>
      </c>
      <c r="E3" t="n" s="1613">
        <v>1.0</v>
      </c>
      <c r="F3" t="n" s="1614">
        <v>4.0</v>
      </c>
    </row>
    <row r="4">
      <c r="A4" t="s" s="1615">
        <v>185</v>
      </c>
      <c r="B4" t="n" s="1616">
        <v>1.0</v>
      </c>
      <c r="C4" t="n" s="1617">
        <v>1.0</v>
      </c>
      <c r="D4" t="n" s="1618">
        <v>1.0</v>
      </c>
      <c r="E4" t="n" s="1619">
        <v>1.0</v>
      </c>
      <c r="F4" t="n" s="1620">
        <v>4.0</v>
      </c>
    </row>
    <row r="5">
      <c r="A5" t="s" s="1621">
        <v>187</v>
      </c>
      <c r="B5" t="n" s="1622">
        <v>3.0</v>
      </c>
      <c r="C5" t="n" s="1623">
        <v>3.0</v>
      </c>
      <c r="D5" t="n" s="1624">
        <v>3.0</v>
      </c>
      <c r="E5" t="n" s="1625">
        <v>3.0</v>
      </c>
      <c r="F5" t="n" s="1626">
        <v>12.0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4"/>
  <sheetViews>
    <sheetView workbookViewId="0" tabSelected="false"/>
  </sheetViews>
  <sheetFormatPr defaultRowHeight="14.25" customHeight="true" baseColWidth="10"/>
  <sheetData>
    <row r="1" ht="15.0" customHeight="true">
      <c r="A1" s="1627"/>
      <c r="B1" t="s" s="1628">
        <v>188</v>
      </c>
      <c r="C1" t="s" s="1629">
        <v>189</v>
      </c>
      <c r="D1" t="s" s="1630">
        <v>190</v>
      </c>
      <c r="E1" t="s" s="1631">
        <v>191</v>
      </c>
      <c r="F1" t="s" s="1632">
        <v>192</v>
      </c>
      <c r="G1" t="s" s="1633">
        <v>193</v>
      </c>
      <c r="H1" t="s" s="1634">
        <v>194</v>
      </c>
    </row>
    <row r="2" ht="15.0" customHeight="true">
      <c r="A2" t="s" s="1635">
        <v>195</v>
      </c>
      <c r="B2" t="n" s="1636">
        <v>320.0</v>
      </c>
      <c r="C2" t="n" s="1637">
        <v>302.0</v>
      </c>
      <c r="D2" t="n" s="1638">
        <v>301.0</v>
      </c>
      <c r="E2" t="n" s="1639">
        <v>334.0</v>
      </c>
      <c r="F2" t="n" s="1640">
        <v>390.0</v>
      </c>
      <c r="G2" t="n" s="1641">
        <v>330.0</v>
      </c>
      <c r="H2" t="n" s="1642">
        <v>320.0</v>
      </c>
    </row>
    <row r="3" ht="15.0" customHeight="true">
      <c r="A3" t="s" s="1643">
        <v>196</v>
      </c>
      <c r="B3" t="n" s="1644">
        <v>120.0</v>
      </c>
      <c r="C3" t="n" s="1645">
        <v>132.0</v>
      </c>
      <c r="D3" t="n" s="1646">
        <v>101.0</v>
      </c>
      <c r="E3" t="n" s="1647">
        <v>134.0</v>
      </c>
      <c r="F3" t="n" s="1648">
        <v>90.0</v>
      </c>
      <c r="G3" t="n" s="1649">
        <v>230.0</v>
      </c>
      <c r="H3" t="n" s="1650">
        <v>210.0</v>
      </c>
    </row>
    <row r="4" ht="15.0" customHeight="true">
      <c r="A4" t="s" s="1651">
        <v>197</v>
      </c>
      <c r="B4" t="n" s="1652">
        <v>220.0</v>
      </c>
      <c r="C4" t="n" s="1653">
        <v>182.0</v>
      </c>
      <c r="D4" t="n" s="1654">
        <v>191.0</v>
      </c>
      <c r="E4" t="n" s="1655">
        <v>234.0</v>
      </c>
      <c r="F4" t="n" s="1656">
        <v>290.0</v>
      </c>
      <c r="G4" t="n" s="1657">
        <v>330.0</v>
      </c>
      <c r="H4" t="n" s="1658">
        <v>310.0</v>
      </c>
    </row>
    <row r="5" ht="15.0" customHeight="true">
      <c r="A5" t="s" s="1659">
        <v>198</v>
      </c>
      <c r="B5" t="n" s="1660">
        <v>820.0</v>
      </c>
      <c r="C5" t="n" s="1661">
        <v>832.0</v>
      </c>
      <c r="D5" t="n" s="1662">
        <v>901.0</v>
      </c>
      <c r="E5" t="n" s="1663">
        <v>934.0</v>
      </c>
      <c r="F5" t="n" s="1664">
        <v>1290.0</v>
      </c>
      <c r="G5" t="n" s="1665">
        <v>1330.0</v>
      </c>
      <c r="H5" t="n" s="1666">
        <v>1320.0</v>
      </c>
    </row>
    <row r="23" ht="15.0" customHeight="true">
      <c r="A23" t="s" s="1667">
        <v>199</v>
      </c>
      <c r="B23" t="s" s="1668">
        <v>200</v>
      </c>
    </row>
    <row r="24" ht="15.0" customHeight="true">
      <c r="A24" t="s" s="1669">
        <v>201</v>
      </c>
      <c r="B24" t="n" s="1670">
        <v>1.354051854E9</v>
      </c>
    </row>
    <row r="25" ht="15.0" customHeight="true">
      <c r="A25" t="s" s="1671">
        <v>202</v>
      </c>
      <c r="B25" t="n" s="1672">
        <v>2.00813818E8</v>
      </c>
    </row>
    <row r="26" ht="15.0" customHeight="true">
      <c r="A26" t="s" s="1673">
        <v>203</v>
      </c>
      <c r="B26" t="n" s="1674">
        <v>1.415045928E9</v>
      </c>
    </row>
    <row r="27" ht="15.0" customHeight="true">
      <c r="A27" t="s" s="1675">
        <v>204</v>
      </c>
      <c r="B27" t="n" s="1676">
        <v>1.27185332E8</v>
      </c>
    </row>
    <row r="28" ht="15.0" customHeight="true">
      <c r="A28" t="s" s="1677">
        <v>205</v>
      </c>
      <c r="B28" t="n" s="1678">
        <v>6.55636576E8</v>
      </c>
    </row>
    <row r="29" ht="15.0" customHeight="true">
      <c r="A29" t="s" s="1679">
        <v>206</v>
      </c>
      <c r="B29" t="n" s="1680">
        <v>2.72298399E8</v>
      </c>
    </row>
    <row r="30" ht="15.0" customHeight="true">
      <c r="A30" t="s" s="1681">
        <v>207</v>
      </c>
      <c r="B30" t="n" s="1682">
        <v>4.33643132E8</v>
      </c>
    </row>
    <row r="31" ht="15.0" customHeight="true">
      <c r="A31" t="s" s="1683">
        <v>206</v>
      </c>
      <c r="B31" t="n" s="1684">
        <v>3.81980688E8</v>
      </c>
    </row>
    <row r="32" ht="15.0" customHeight="true">
      <c r="A32" t="s" s="1685">
        <v>208</v>
      </c>
      <c r="B32" t="n" s="1686">
        <v>2.37784677E8</v>
      </c>
    </row>
    <row r="33" ht="15.0" customHeight="true">
      <c r="A33" t="s" s="1687">
        <v>209</v>
      </c>
      <c r="B33" t="n" s="1688">
        <v>2.34512021E8</v>
      </c>
    </row>
    <row r="34" ht="15.0" customHeight="true">
      <c r="A34" t="s" s="1689">
        <v>210</v>
      </c>
      <c r="B34" t="n" s="1690">
        <v>7.4264801E8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 tabSelected="false"/>
  </sheetViews>
  <sheetFormatPr defaultRowHeight="14.25" customHeight="true" baseColWidth="10"/>
  <cols>
    <col min="9" max="9" width="14.99609375" customWidth="true"/>
  </cols>
  <sheetData>
    <row r="1">
      <c r="A1" s="1691"/>
    </row>
    <row r="2">
      <c r="B2" t="s" s="1692">
        <v>1</v>
      </c>
      <c r="I2" t="s" s="1693">
        <v>211</v>
      </c>
    </row>
    <row r="3" ht="23.25" customHeight="true"/>
    <row r="5" ht="49.5" customHeight="true">
      <c r="I5" s="1694"/>
    </row>
    <row r="6">
      <c r="B6" t="s" s="1695">
        <v>212</v>
      </c>
      <c r="I6" t="s" s="1696">
        <v>213</v>
      </c>
    </row>
    <row r="7">
      <c r="A7" t="s" s="1697">
        <v>214</v>
      </c>
    </row>
  </sheetData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>
  <dimension ref="A1:I8"/>
  <sheetViews>
    <sheetView workbookViewId="0" tabSelected="false"/>
  </sheetViews>
  <sheetFormatPr defaultRowHeight="14.25" customHeight="true" baseColWidth="10"/>
  <cols>
    <col min="1" max="1" width="15.56640625" customWidth="true"/>
    <col min="3" max="3" width="20.421875" customWidth="true"/>
    <col min="4" max="4" width="28.56640625" customWidth="true"/>
    <col min="5" max="5" width="25.70703125" customWidth="true"/>
    <col min="7" max="7" width="25.421875" customWidth="true"/>
    <col min="8" max="8" width="17.8515625" customWidth="true"/>
  </cols>
  <sheetData>
    <row r="1">
      <c r="A1" t="s" s="1698">
        <v>215</v>
      </c>
      <c r="B1" t="s" s="1699">
        <v>216</v>
      </c>
      <c r="C1" t="s" s="1700">
        <v>217</v>
      </c>
      <c r="D1" t="s" s="1701">
        <v>218</v>
      </c>
      <c r="E1" t="s" s="1702">
        <v>219</v>
      </c>
      <c r="F1" t="s" s="1703">
        <v>220</v>
      </c>
      <c r="G1" t="s" s="1704">
        <v>221</v>
      </c>
      <c r="H1" t="s" s="1705">
        <v>222</v>
      </c>
    </row>
    <row r="2">
      <c r="A2" t="s" s="1706">
        <v>223</v>
      </c>
      <c r="B2" t="s" s="1707">
        <v>224</v>
      </c>
      <c r="C2" t="n" s="1708">
        <v>1.0</v>
      </c>
      <c r="D2" t="s" s="1709">
        <v>225</v>
      </c>
      <c r="E2" t="s" s="1710">
        <v>226</v>
      </c>
      <c r="F2" t="n" s="1711">
        <v>44098.0</v>
      </c>
      <c r="G2" t="s" s="1712">
        <v>227</v>
      </c>
      <c r="H2" t="n" s="1713">
        <v>1.3678765439E10</v>
      </c>
    </row>
    <row r="3">
      <c r="A3" t="s" s="1714">
        <v>228</v>
      </c>
      <c r="B3" t="s" s="1715">
        <v>229</v>
      </c>
      <c r="C3" t="n" s="1716">
        <v>2.0</v>
      </c>
      <c r="D3" t="s" s="1717">
        <v>230</v>
      </c>
      <c r="E3" t="s" s="1718">
        <v>231</v>
      </c>
      <c r="F3" t="s" s="1719">
        <v>232</v>
      </c>
      <c r="G3" t="s" s="1720">
        <v>233</v>
      </c>
      <c r="H3" t="n" s="1721">
        <v>1.367876544E9</v>
      </c>
    </row>
    <row r="4">
      <c r="A4" t="s" s="1722">
        <v>234</v>
      </c>
      <c r="B4" t="s" s="1723">
        <v>224</v>
      </c>
      <c r="C4" t="n" s="1724">
        <v>5.0</v>
      </c>
      <c r="D4" t="s" s="1725">
        <v>235</v>
      </c>
      <c r="E4" t="s" s="1726">
        <v>236</v>
      </c>
      <c r="F4" t="n" s="1727">
        <v>44100.0</v>
      </c>
      <c r="G4" t="s" s="1728">
        <v>237</v>
      </c>
      <c r="H4" t="n" s="1729">
        <v>1.36787654412E11</v>
      </c>
    </row>
    <row r="5">
      <c r="A5" t="s" s="1730">
        <v>238</v>
      </c>
      <c r="B5" t="s" s="1731">
        <v>224</v>
      </c>
      <c r="C5" t="n" s="1732">
        <v>11.0</v>
      </c>
      <c r="D5" t="s" s="1733">
        <v>239</v>
      </c>
      <c r="E5" t="s" s="1734">
        <v>240</v>
      </c>
      <c r="F5" t="n" s="1735">
        <v>44101.0</v>
      </c>
      <c r="G5" t="s" s="1736">
        <v>241</v>
      </c>
      <c r="H5" t="n" s="1737">
        <v>4.9865342456E10</v>
      </c>
    </row>
    <row r="6">
      <c r="A6" t="s" s="1738">
        <v>234</v>
      </c>
      <c r="B6" t="s" s="1739">
        <v>224</v>
      </c>
      <c r="C6" t="n" s="1740">
        <v>3.0</v>
      </c>
      <c r="D6" t="s" s="1741">
        <v>242</v>
      </c>
      <c r="E6" t="s" s="1742">
        <v>243</v>
      </c>
      <c r="F6" t="n" s="1743">
        <v>44071.0</v>
      </c>
      <c r="G6" t="s" s="1744">
        <v>244</v>
      </c>
      <c r="H6" t="s" s="1745">
        <v>244</v>
      </c>
    </row>
    <row r="7">
      <c r="A7" t="s" s="1746">
        <v>228</v>
      </c>
      <c r="B7" t="s" s="1747">
        <v>229</v>
      </c>
      <c r="C7" t="n" s="1748">
        <v>0.0</v>
      </c>
      <c r="D7" t="s" s="1749">
        <v>245</v>
      </c>
      <c r="E7" t="s" s="1750">
        <v>246</v>
      </c>
      <c r="F7" t="n" s="1751">
        <v>44103.0</v>
      </c>
      <c r="G7" t="s" s="1752">
        <v>247</v>
      </c>
      <c r="H7" t="n" s="1753">
        <v>2.3309873564E10</v>
      </c>
    </row>
    <row r="8">
      <c r="I8" s="175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2026-05-08T14:09:53Z</dcterms:created>
  <dc:creator>Apache POI</dc:creator>
</cp:coreProperties>
</file>