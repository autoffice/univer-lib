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80" firstSheet="1" activeTab="6"/>
  </bookViews>
  <sheets>
    <sheet name="Evaluation Version" sheetId="8" r:id="rId1"/>
    <sheet name="目录索引" sheetId="1" r:id="rId2"/>
    <sheet name="500+ 公式函数支持" sheetId="2" r:id="rId3"/>
    <sheet name="丰富的单元格表现" sheetId="3" r:id="rId4"/>
    <sheet name="强大的数据透视表" sheetId="4" r:id="rId5"/>
    <sheet name="数据验证与条件格式" sheetId="5" r:id="rId6"/>
    <sheet name="与 Excel 兼容的图表" sheetId="6" r:id="rId7"/>
  </sheets>
  <definedNames>
    <definedName name="ExternalData_2" localSheetId="4">强大的数据透视表!$A$25:$N$1074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<sst xmlns="http://schemas.openxmlformats.org/spreadsheetml/2006/main" count="12316" uniqueCount="2143">
  <si>
    <t>AutOffice测试文档，欢迎联系hello.aldis@qq.com</t>
  </si>
  <si>
    <t>强大的公式计算引擎</t>
  </si>
  <si>
    <t>丰富的单元格表现</t>
  </si>
  <si>
    <t>强大的数据透视表</t>
  </si>
  <si>
    <t>预约免费技术支持</t>
  </si>
  <si>
    <t>兼容并支持超过500种以上的标准Excel公式函数，包含求和、财务、逻辑、文本、日期时间、查找引用以及数据函数等，同时也支持自定义及异步函数</t>
  </si>
  <si>
    <t>支持标准单元格的各种设置，如样式、字体、格式、方向、填充、边框等，类型也包含下拉列表、按钮、日期等类型，用户还可以自定义单元格类型</t>
  </si>
  <si>
    <t>支持数据透视表，数据透视表支持排序、筛选等多种功能，可以按不同维度分析数据，并且支持多种主题。</t>
  </si>
  <si>
    <t>电话沟通，详细了解您的项目需求
视频讲解，为您演示产品核心特性
技术答疑，提供 30 天免费技术支持
项目指导，根据项目需求共同制定实施方案</t>
  </si>
  <si>
    <t>数据验证与条件格式</t>
  </si>
  <si>
    <t xml:space="preserve">与 Excel 兼容的图表
</t>
  </si>
  <si>
    <t>文件导入及导出</t>
  </si>
  <si>
    <t>下载免费试用</t>
  </si>
  <si>
    <t>支持常用的数据验证，如：列表、整数、日期以及文本长度，以及显示特殊单元格的条件格式</t>
  </si>
  <si>
    <t xml:space="preserve">支持的类型包括柱状图，折线图，饼状图，面积图，条形图，XY散点图，股票图，组合图，雷达图，旭日图，树状图以及对趋势线，误差线以及其他自定义选项的额外支持。
</t>
  </si>
  <si>
    <t>可以在线上传本地Excel/CSV文件，查看在浏览器中的展示效果，也可以测试导出和打印功能。
​*注：在线测试为纯前端引用，不会在服务器或者任何第三方存储上传的文件</t>
  </si>
  <si>
    <t>立即下载产品试用，在本地测试强大功能，产品包附带多种框架示例，还可以申请免费技术支持，加快产品评估。</t>
  </si>
  <si>
    <t>数据填报</t>
  </si>
  <si>
    <t>类 Excel 报表设计</t>
  </si>
  <si>
    <t>表格文档协同编辑</t>
  </si>
  <si>
    <t>数据填报，可作为独立的功能模块，用于管理业务流程、汇总采集数据，以及开发各类数据报送系统，因此，对于填报工具而言，其典型场景之一就是利用填报模板录入各种业务数据。如金融指标补录、实验室管理、计量检测与检定、企业所得税申报等典型的应用。</t>
  </si>
  <si>
    <t>类Excel报表设计，是用来展示和使用数据的过程，目前已广泛应用于企业日常生产经营活动中。使用类Excel模式设计各类报表，既可以保留用户的使用习惯，又可以轻松实现数据从本地到线上的平滑迁移。典型的有财务报表、销售统计分析、预算管理等</t>
  </si>
  <si>
    <t>在线文档，是指将桌面文档的工作和流程在线化。因为用户早已习惯使用Excel软件来处理海量数据，因此，研发一套在线文档系统，除要考虑多人协作、数据同步和二次扩展等问题外，还必须满足Excel操作习惯、公式计算和系统性能的要求。</t>
  </si>
  <si>
    <t>常用 Excel 公式函数示例</t>
  </si>
  <si>
    <t>简要说明</t>
  </si>
  <si>
    <t>公式</t>
  </si>
  <si>
    <t>示例</t>
  </si>
  <si>
    <t>π</t>
  </si>
  <si>
    <t>PI()</t>
  </si>
  <si>
    <t>取整数</t>
  </si>
  <si>
    <t>ROUND(E6*F6,0)</t>
  </si>
  <si>
    <t>进位到5</t>
  </si>
  <si>
    <t>CEILING(E7*F7,5)</t>
  </si>
  <si>
    <t>保留一位小数</t>
  </si>
  <si>
    <t>ROUND(E7*F7,1)</t>
  </si>
  <si>
    <t>保留两位小数</t>
  </si>
  <si>
    <t>ROUND(E8*F8,2)</t>
  </si>
  <si>
    <t>按垂直方向查找计算</t>
  </si>
  <si>
    <t>VLOOKUP(E9,$F$9:$G$10,2,0)*$H$9</t>
  </si>
  <si>
    <t>伸缩缝</t>
  </si>
  <si>
    <t>VLOOKUP(E10,$F$9:$G$10,2,0)*$H$9</t>
  </si>
  <si>
    <t>支座</t>
  </si>
  <si>
    <t>按水平方向查找计算</t>
  </si>
  <si>
    <t>HLOOKUP(E11,$F$11:$G$12,$J$11,0)/$H$11</t>
  </si>
  <si>
    <t>HLOOKUP(E12,$F$11:$G$12,$J$11,0)/$H$11</t>
  </si>
  <si>
    <t>绝对值</t>
  </si>
  <si>
    <t>ABS(E23)</t>
  </si>
  <si>
    <t>关于年月日</t>
  </si>
  <si>
    <t>DATE(year,month,day)</t>
  </si>
  <si>
    <t>YEAR    MONTH    DAY</t>
  </si>
  <si>
    <t>乘积</t>
  </si>
  <si>
    <t>单价</t>
  </si>
  <si>
    <t>人数</t>
  </si>
  <si>
    <t>多次折扣</t>
  </si>
  <si>
    <t>PRODUCT(F28,$E$28,G28:J28)</t>
  </si>
  <si>
    <t>PRODUCT(F29,$E$28,G29)</t>
  </si>
  <si>
    <t>按分类汇总</t>
  </si>
  <si>
    <t xml:space="preserve">SUMIF($F$3:$F$5,"√",$E$3:$E$5)            SUMIF($H$3:$H$5,"&gt;=3",$I$3:$I$5)  </t>
  </si>
  <si>
    <t>√</t>
  </si>
  <si>
    <t>×</t>
  </si>
  <si>
    <t>条件求和</t>
  </si>
  <si>
    <t>SUMIF($E$44:$H$52,"D80",$G$44:$J$52)</t>
  </si>
  <si>
    <t>班组</t>
  </si>
  <si>
    <t>产品</t>
  </si>
  <si>
    <t>产量</t>
  </si>
  <si>
    <t>SUM(SUMIF($E$44:$H$52,{"平一","平二","平三"},$G$44:$J$52))</t>
  </si>
  <si>
    <t>平二</t>
  </si>
  <si>
    <t>DT160</t>
  </si>
  <si>
    <t>D80</t>
  </si>
  <si>
    <t>多条件求和</t>
  </si>
  <si>
    <t>SUMPRODUCT(($E$48:$E$50=$D$48)*($F$47:$J$47=$D$49)*$F$48:$J$50)</t>
  </si>
  <si>
    <t>M15001</t>
  </si>
  <si>
    <t>M15002</t>
  </si>
  <si>
    <t>M15003</t>
  </si>
  <si>
    <t>M15004</t>
  </si>
  <si>
    <t>M15005</t>
  </si>
  <si>
    <t>平一</t>
  </si>
  <si>
    <t>平三</t>
  </si>
  <si>
    <t>星座</t>
  </si>
  <si>
    <t>LOOKUP(--TEXT(D59,"m.dd"),{1.01,1.21,2.19,3.21,4.21,5.21,6.22,7.23,8.23,9.23,10.23,11.22,12.22},{"魔羯座","水瓶座","双鱼座","牡羊座","金牛座","双子座","巨蟹座","狮子座","处女座","天秤座","天蝎座","射手座","魔羯座"})</t>
  </si>
  <si>
    <t>出生日期</t>
  </si>
  <si>
    <t>生肖</t>
  </si>
  <si>
    <t>年龄</t>
  </si>
  <si>
    <t>DATEDIF(D59,TODAY(),"y")</t>
  </si>
  <si>
    <t>统计项目</t>
  </si>
  <si>
    <t>COUNTIF(E65:J65,"√")</t>
  </si>
  <si>
    <t>※</t>
  </si>
  <si>
    <t>□</t>
  </si>
  <si>
    <t>相隔天数</t>
  </si>
  <si>
    <t>IF(OR($F72="",$G72=""),"",DATEDIF($F72,$G72,"d"))</t>
  </si>
  <si>
    <t>设备</t>
  </si>
  <si>
    <t>第1次检修时间</t>
  </si>
  <si>
    <t>第2次检修时间</t>
  </si>
  <si>
    <t>相隔年数</t>
  </si>
  <si>
    <t>IF(OR($F72="",$G72=""),"",DATEDIF($F72,$G73,"y"))</t>
  </si>
  <si>
    <t>机器1</t>
  </si>
  <si>
    <t>多条件提取</t>
  </si>
  <si>
    <t>班级</t>
  </si>
  <si>
    <t>姓名</t>
  </si>
  <si>
    <t>查询班级</t>
  </si>
  <si>
    <t>奔跑班</t>
  </si>
  <si>
    <t>COUNTIF(F$81:F81,J$80)</t>
  </si>
  <si>
    <t>张三</t>
  </si>
  <si>
    <t>李四</t>
  </si>
  <si>
    <t>王五</t>
  </si>
  <si>
    <t>IFERROR(VLOOKUP(ROW(E1),$E$80:$G$90,3,0),"")</t>
  </si>
  <si>
    <t>赵六</t>
  </si>
  <si>
    <t>兄弟班</t>
  </si>
  <si>
    <t>郑琦</t>
  </si>
  <si>
    <t>钱吧</t>
  </si>
  <si>
    <t>周就</t>
  </si>
  <si>
    <t>嘉宾班</t>
  </si>
  <si>
    <t>乌石</t>
  </si>
  <si>
    <t>胡三</t>
  </si>
  <si>
    <t>陆玖</t>
  </si>
  <si>
    <t>多条件判断</t>
  </si>
  <si>
    <t>IF(F92&lt;TODAY(),"试用期已过",IF(F92=TODAY(),"试用期到期","试用期还有"&amp;F92-TODAY()&amp;"天结束"))</t>
  </si>
  <si>
    <t>用于条件格式</t>
  </si>
  <si>
    <t>李二</t>
  </si>
  <si>
    <t>胡四</t>
  </si>
  <si>
    <t>三角函数</t>
  </si>
  <si>
    <t>角度</t>
  </si>
  <si>
    <t>弧度</t>
  </si>
  <si>
    <t>正弦</t>
  </si>
  <si>
    <t>余弦</t>
  </si>
  <si>
    <t>正切</t>
  </si>
  <si>
    <t>余切</t>
  </si>
  <si>
    <t>SIN(E130)</t>
  </si>
  <si>
    <t>COS(E130)</t>
  </si>
  <si>
    <t>TAN(E130)</t>
  </si>
  <si>
    <t>1/TAN(E130)</t>
  </si>
  <si>
    <t>SIN(PI()*(LEFT($D130,LEN($D130)-4)+MID($D130,LEN($D130)-3,2)/60+RIGHT($D130,2)/3600)/180)</t>
  </si>
  <si>
    <t>COS(PI()*(LEFT($D130,LEN($D130)-4)+MID($D130,LEN($D130)-3,2)/60+RIGHT($D130,2)/3600)/180</t>
  </si>
  <si>
    <t>TAN(PI()*(LEFT($D130,LEN($D130)-4)+MID($D130,LEN($D130)-3,2)/60+RIGHT($D130,2)/3600)/180</t>
  </si>
  <si>
    <t>1/TAN(PI()*(LEFT($D130,LEN($D130)-4)+MID($D130,LEN($D130)-3,2)/60+RIGHT($D130,2)/3600)/180)</t>
  </si>
  <si>
    <t>全部公式函数速查</t>
  </si>
  <si>
    <t>ABS</t>
  </si>
  <si>
    <t>ACOS</t>
  </si>
  <si>
    <t>ASIN</t>
  </si>
  <si>
    <t>ATAN</t>
  </si>
  <si>
    <t>ATAN2</t>
  </si>
  <si>
    <t>COS</t>
  </si>
  <si>
    <t>CEILING</t>
  </si>
  <si>
    <t>ODD</t>
  </si>
  <si>
    <t>EVEN</t>
  </si>
  <si>
    <t>FLOOR</t>
  </si>
  <si>
    <t>LN</t>
  </si>
  <si>
    <t>SQRT</t>
  </si>
  <si>
    <t>SIN</t>
  </si>
  <si>
    <t>TAN</t>
  </si>
  <si>
    <t>SIGN</t>
  </si>
  <si>
    <t>GCD</t>
  </si>
  <si>
    <t>LCM</t>
  </si>
  <si>
    <t>PRODUCT</t>
  </si>
  <si>
    <t>POWER</t>
  </si>
  <si>
    <t>MOD</t>
  </si>
  <si>
    <t>QUOTIENT</t>
  </si>
  <si>
    <t>SUBTOTAL</t>
  </si>
  <si>
    <t>INT</t>
  </si>
  <si>
    <t>MROUND</t>
  </si>
  <si>
    <t>ROUND</t>
  </si>
  <si>
    <t>ROUNDDOWN</t>
  </si>
  <si>
    <t>ROUNDUP</t>
  </si>
  <si>
    <t>TRUNC</t>
  </si>
  <si>
    <t>EXP</t>
  </si>
  <si>
    <t>LOG</t>
  </si>
  <si>
    <t>LOG10</t>
  </si>
  <si>
    <t>SUM</t>
  </si>
  <si>
    <t>SUMIF</t>
  </si>
  <si>
    <t>SUMIFS</t>
  </si>
  <si>
    <t>SUMPRODUCT</t>
  </si>
  <si>
    <t>SUMSQ</t>
  </si>
  <si>
    <t>SUMX2MY2</t>
  </si>
  <si>
    <t>SUMX2PY2</t>
  </si>
  <si>
    <t>SUMXMY2</t>
  </si>
  <si>
    <t>SERIESSUM</t>
  </si>
  <si>
    <t>PI</t>
  </si>
  <si>
    <t>SQRTPI</t>
  </si>
  <si>
    <t>DEGREES</t>
  </si>
  <si>
    <t>RADIANS</t>
  </si>
  <si>
    <t>COSH</t>
  </si>
  <si>
    <t>ACOSH</t>
  </si>
  <si>
    <t>SINH</t>
  </si>
  <si>
    <t>ASINH</t>
  </si>
  <si>
    <t>TANH</t>
  </si>
  <si>
    <t>ATANH</t>
  </si>
  <si>
    <t>MDETERM</t>
  </si>
  <si>
    <t>MINVERSE</t>
  </si>
  <si>
    <t>MMULT</t>
  </si>
  <si>
    <t>FACT</t>
  </si>
  <si>
    <t>FACTDOUBLE</t>
  </si>
  <si>
    <t>MULTINOMIAL</t>
  </si>
  <si>
    <t>RAND</t>
  </si>
  <si>
    <t>RANDBETWEEN</t>
  </si>
  <si>
    <t>COMBIN</t>
  </si>
  <si>
    <t>ROMAN</t>
  </si>
  <si>
    <t>CEILING.PRECISE</t>
  </si>
  <si>
    <t>ISO.CEILING</t>
  </si>
  <si>
    <t>FLOOR.PRECISE</t>
  </si>
  <si>
    <t>MUNIT</t>
  </si>
  <si>
    <t>AND</t>
  </si>
  <si>
    <t>OR</t>
  </si>
  <si>
    <t>NOT</t>
  </si>
  <si>
    <t>IF</t>
  </si>
  <si>
    <t>IFERROR</t>
  </si>
  <si>
    <t>DATE</t>
  </si>
  <si>
    <t>TIME</t>
  </si>
  <si>
    <t>DATEVALUE</t>
  </si>
  <si>
    <t>TIMEVALUE</t>
  </si>
  <si>
    <t>NOW</t>
  </si>
  <si>
    <t>TODAY</t>
  </si>
  <si>
    <t>HOUR</t>
  </si>
  <si>
    <t>MINUTE</t>
  </si>
  <si>
    <t>SECOND</t>
  </si>
  <si>
    <t>DAY</t>
  </si>
  <si>
    <t>MONTH</t>
  </si>
  <si>
    <t>YEAR</t>
  </si>
  <si>
    <t>WEEKNUM</t>
  </si>
  <si>
    <t>WEEKDAY</t>
  </si>
  <si>
    <t>EDATE</t>
  </si>
  <si>
    <t>EOMONTH</t>
  </si>
  <si>
    <t>WORKDAY</t>
  </si>
  <si>
    <t>WORKDAY.INTL</t>
  </si>
  <si>
    <t>DAYS360</t>
  </si>
  <si>
    <t>NETWORKDAYS</t>
  </si>
  <si>
    <t>NETWORKDAYS.INTL</t>
  </si>
  <si>
    <t>YEARFRAC</t>
  </si>
  <si>
    <t>DATEDIF</t>
  </si>
  <si>
    <t>CLEAN</t>
  </si>
  <si>
    <t>TRIM</t>
  </si>
  <si>
    <t>DOLLAR</t>
  </si>
  <si>
    <t>FIXED</t>
  </si>
  <si>
    <t>TEXT</t>
  </si>
  <si>
    <t>VALUE</t>
  </si>
  <si>
    <t>LOWER</t>
  </si>
  <si>
    <t>UPPER</t>
  </si>
  <si>
    <t>PROPER</t>
  </si>
  <si>
    <t>CHAR</t>
  </si>
  <si>
    <t>CODE</t>
  </si>
  <si>
    <t>REPLACE</t>
  </si>
  <si>
    <t>SUBSTITUTE</t>
  </si>
  <si>
    <t>CONCATENATE</t>
  </si>
  <si>
    <t>LEFT</t>
  </si>
  <si>
    <t>MID</t>
  </si>
  <si>
    <t>RIGHT</t>
  </si>
  <si>
    <t>REPT</t>
  </si>
  <si>
    <t>LEN</t>
  </si>
  <si>
    <t>FIND</t>
  </si>
  <si>
    <t>SEARCH</t>
  </si>
  <si>
    <t>EXACT</t>
  </si>
  <si>
    <t>T</t>
  </si>
  <si>
    <t>ISERROR</t>
  </si>
  <si>
    <t>ISERR</t>
  </si>
  <si>
    <t>ISNA</t>
  </si>
  <si>
    <t>ERROR.TYPE</t>
  </si>
  <si>
    <t>ISNUMBER</t>
  </si>
  <si>
    <t>ISEVEN</t>
  </si>
  <si>
    <t>ISODD</t>
  </si>
  <si>
    <t>N</t>
  </si>
  <si>
    <t>ISBLANK</t>
  </si>
  <si>
    <t>ISLOGICAL</t>
  </si>
  <si>
    <t>ISTEXT</t>
  </si>
  <si>
    <t>ISNONTEXT</t>
  </si>
  <si>
    <t>ISREF</t>
  </si>
  <si>
    <t>TYPE</t>
  </si>
  <si>
    <t>NA</t>
  </si>
  <si>
    <t>REFRESH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</si>
  <si>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</si>
  <si>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</si>
  <si>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</si>
  <si>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</si>
  <si>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</si>
  <si>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</si>
  <si>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</si>
  <si>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</si>
  <si>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</si>
  <si>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</si>
  <si>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</si>
  <si>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</si>
  <si>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BESSELI</t>
  </si>
  <si>
    <t>BESSELJ</t>
  </si>
  <si>
    <t>BESSELK</t>
  </si>
  <si>
    <t>BESSELY</t>
  </si>
  <si>
    <t>BIN2DEC</t>
  </si>
  <si>
    <t>BIN2HEX</t>
  </si>
  <si>
    <t>BIN2OCT</t>
  </si>
  <si>
    <t>DEC2BIN</t>
  </si>
  <si>
    <t>DEC2HEX</t>
  </si>
  <si>
    <t>DEC2OCT</t>
  </si>
  <si>
    <t>HEX2BIN</t>
  </si>
  <si>
    <t>HEX2DEC</t>
  </si>
  <si>
    <t>HEX2OCT</t>
  </si>
  <si>
    <t>OCT2BIN</t>
  </si>
  <si>
    <t>OCT2DEC</t>
  </si>
  <si>
    <t>OCT2HEX</t>
  </si>
  <si>
    <t>ERF</t>
  </si>
  <si>
    <t>ERF.PRECISE</t>
  </si>
  <si>
    <t>ERFC</t>
  </si>
  <si>
    <t>ERFC.PRECISE</t>
  </si>
  <si>
    <t>DELTA</t>
  </si>
  <si>
    <t>GESTEP</t>
  </si>
  <si>
    <t>COMPLEX</t>
  </si>
  <si>
    <t>IMABS</t>
  </si>
  <si>
    <t>IMAGINARY</t>
  </si>
  <si>
    <t>IMARGUMENT</t>
  </si>
  <si>
    <t>IMCONJUGATE</t>
  </si>
  <si>
    <t>IMCOS</t>
  </si>
  <si>
    <t>IMDIV</t>
  </si>
  <si>
    <t>IMEXP</t>
  </si>
  <si>
    <t>IMLN</t>
  </si>
  <si>
    <t>IMLOG10</t>
  </si>
  <si>
    <t>IMLOG2</t>
  </si>
  <si>
    <t>IMREAL</t>
  </si>
  <si>
    <t>IMSIN</t>
  </si>
  <si>
    <t>IMSQRT</t>
  </si>
  <si>
    <t>IMSUB</t>
  </si>
  <si>
    <t>IMPOWER</t>
  </si>
  <si>
    <t>IMPRODUCT</t>
  </si>
  <si>
    <t>IMSUM</t>
  </si>
  <si>
    <t>RANK.AVG</t>
  </si>
  <si>
    <t>FV</t>
  </si>
  <si>
    <t>FVSCHEDULE</t>
  </si>
  <si>
    <t>NPV</t>
  </si>
  <si>
    <t>PV</t>
  </si>
  <si>
    <t>RECEIVED</t>
  </si>
  <si>
    <t>XNPV</t>
  </si>
  <si>
    <t>CUMIPMT</t>
  </si>
  <si>
    <t>CUMPRINC</t>
  </si>
  <si>
    <t>IPMT</t>
  </si>
  <si>
    <t>ISPMT</t>
  </si>
  <si>
    <t>PMT</t>
  </si>
  <si>
    <t>PPMT</t>
  </si>
  <si>
    <t>COUPDAYBS</t>
  </si>
  <si>
    <t>COUPDAYS</t>
  </si>
  <si>
    <t>COUPDAYSNC</t>
  </si>
  <si>
    <t>COUPNCD</t>
  </si>
  <si>
    <t>COUPNUM</t>
  </si>
  <si>
    <t>COUPPCD</t>
  </si>
  <si>
    <t>DURATION</t>
  </si>
  <si>
    <t>MDURATION</t>
  </si>
  <si>
    <t>NPER</t>
  </si>
  <si>
    <t>YIELD</t>
  </si>
  <si>
    <t>YIELDDISC</t>
  </si>
  <si>
    <t>YIELDMAT</t>
  </si>
  <si>
    <t>AMORDEGRC</t>
  </si>
  <si>
    <t>AMORLINC</t>
  </si>
  <si>
    <t>ODDFYIELD</t>
  </si>
  <si>
    <t>ODDLYIELD</t>
  </si>
  <si>
    <t>ODDLPRICE</t>
  </si>
  <si>
    <t>TBILLEQ</t>
  </si>
  <si>
    <t>TBILLYIELD</t>
  </si>
  <si>
    <t>IRR</t>
  </si>
  <si>
    <t>XIRR</t>
  </si>
  <si>
    <t>RATE</t>
  </si>
  <si>
    <t>VDB</t>
  </si>
  <si>
    <t>ACCRINT</t>
  </si>
  <si>
    <t>ACCRINTM</t>
  </si>
  <si>
    <t>DISC</t>
  </si>
  <si>
    <t>EFFECT</t>
  </si>
  <si>
    <t>INTRATE</t>
  </si>
  <si>
    <t>NOMINAL</t>
  </si>
  <si>
    <t>DB</t>
  </si>
  <si>
    <t>DDB</t>
  </si>
  <si>
    <t>SLN</t>
  </si>
  <si>
    <t>SYD</t>
  </si>
  <si>
    <t>DOLLARDE</t>
  </si>
  <si>
    <t>DOLLARFR</t>
  </si>
  <si>
    <t>PRICE</t>
  </si>
  <si>
    <t>PRICEDISC</t>
  </si>
  <si>
    <t>PRICEMAT</t>
  </si>
  <si>
    <t>ODDFPRICE</t>
  </si>
  <si>
    <t>TBILLPRICE</t>
  </si>
  <si>
    <t>EURO</t>
  </si>
  <si>
    <t>EUROCONVERT</t>
  </si>
  <si>
    <t>RRI</t>
  </si>
  <si>
    <t>ADDRESS</t>
  </si>
  <si>
    <t>INDEX</t>
  </si>
  <si>
    <t>OFFSET</t>
  </si>
  <si>
    <t>ROW</t>
  </si>
  <si>
    <t>COLUMN</t>
  </si>
  <si>
    <t>ROWS</t>
  </si>
  <si>
    <t>COLUMNS</t>
  </si>
  <si>
    <t>TRANSPOSE</t>
  </si>
  <si>
    <t>LOOKUP</t>
  </si>
  <si>
    <t>HLOOKUP</t>
  </si>
  <si>
    <t>VLOOKUP</t>
  </si>
  <si>
    <t>CHOOSE</t>
  </si>
  <si>
    <t>MATCH</t>
  </si>
  <si>
    <t>INDIRECT</t>
  </si>
  <si>
    <t>TREND</t>
  </si>
  <si>
    <t>GROWTH</t>
  </si>
  <si>
    <t>FORECAST</t>
  </si>
  <si>
    <t>AVERAGE</t>
  </si>
  <si>
    <t>STDEV</t>
  </si>
  <si>
    <t>STDEV.S</t>
  </si>
  <si>
    <t>PERCENTILE</t>
  </si>
  <si>
    <t>PERCENTILE.INC</t>
  </si>
  <si>
    <t>MAX</t>
  </si>
  <si>
    <t>MAXA</t>
  </si>
  <si>
    <t>MIN</t>
  </si>
  <si>
    <t>MINA</t>
  </si>
  <si>
    <t>LARGE</t>
  </si>
  <si>
    <t>SMALL</t>
  </si>
  <si>
    <t>AVERAGEA</t>
  </si>
  <si>
    <t>AVERAGEIF</t>
  </si>
  <si>
    <t>AVERAGEIFS</t>
  </si>
  <si>
    <t>MEDIAN</t>
  </si>
  <si>
    <t>MODE</t>
  </si>
  <si>
    <t>MODE.SNGL</t>
  </si>
  <si>
    <t>GEOMEAN</t>
  </si>
  <si>
    <t>HARMEAN</t>
  </si>
  <si>
    <t>TRIMMEAN</t>
  </si>
  <si>
    <t>FREQUENCY</t>
  </si>
  <si>
    <t>RANK</t>
  </si>
  <si>
    <t>RANK.EQ</t>
  </si>
  <si>
    <t>KURT</t>
  </si>
  <si>
    <t>PERCENTRANK</t>
  </si>
  <si>
    <t>PERCENTRANK.INC</t>
  </si>
  <si>
    <t>PERCENTRANK.EXC</t>
  </si>
  <si>
    <t>QUARTILE</t>
  </si>
  <si>
    <t>QUARTILE.INC</t>
  </si>
  <si>
    <t>COUNT</t>
  </si>
  <si>
    <t>COUNTA</t>
  </si>
  <si>
    <t>COUNTBLANK</t>
  </si>
  <si>
    <t>COUNTIF</t>
  </si>
  <si>
    <t>COUNTIFS</t>
  </si>
  <si>
    <t>AVEDEV</t>
  </si>
  <si>
    <t>STDEVA</t>
  </si>
  <si>
    <t>STDEVP</t>
  </si>
  <si>
    <t>STDEV.P</t>
  </si>
  <si>
    <t>STDEVPA</t>
  </si>
  <si>
    <t>VAR</t>
  </si>
  <si>
    <t>VAR.S</t>
  </si>
  <si>
    <t>VARA</t>
  </si>
  <si>
    <t>VARP</t>
  </si>
  <si>
    <t>VAR.P</t>
  </si>
  <si>
    <t>VARPA</t>
  </si>
  <si>
    <t>COVAR</t>
  </si>
  <si>
    <t>COVARIANCE.P</t>
  </si>
  <si>
    <t>DEVSQ</t>
  </si>
  <si>
    <t>CONFIDENCE</t>
  </si>
  <si>
    <t>CONFIDENCE.NORM</t>
  </si>
  <si>
    <t>CONFIDENCE.T</t>
  </si>
  <si>
    <t>INTERCEPT</t>
  </si>
  <si>
    <t>LINEST</t>
  </si>
  <si>
    <t>SLOPE</t>
  </si>
  <si>
    <t>LOGEST</t>
  </si>
  <si>
    <t>STEYX</t>
  </si>
  <si>
    <t>BETADIST</t>
  </si>
  <si>
    <t>BETA.DIST</t>
  </si>
  <si>
    <t>BETAINV</t>
  </si>
  <si>
    <t>BETA.INV</t>
  </si>
  <si>
    <t>BINOMDIST</t>
  </si>
  <si>
    <t>BINOM.DIST</t>
  </si>
  <si>
    <t>NEGBINOMDIST</t>
  </si>
  <si>
    <t>NEGBINOM.DIST</t>
  </si>
  <si>
    <t>CRITBINOM</t>
  </si>
  <si>
    <t>BINOM.INV</t>
  </si>
  <si>
    <t>CHIDIST</t>
  </si>
  <si>
    <t>CHISQ.DIST.RT</t>
  </si>
  <si>
    <t>CHISQ.DIST</t>
  </si>
  <si>
    <t>CHIINV</t>
  </si>
  <si>
    <t>CHISQ.INV.RT</t>
  </si>
  <si>
    <t>CHISQ.INV</t>
  </si>
  <si>
    <t>CHITEST</t>
  </si>
  <si>
    <t>CHISQ.TEST</t>
  </si>
  <si>
    <t>CORREL</t>
  </si>
  <si>
    <t>EXPONDIST</t>
  </si>
  <si>
    <t>EXPON.DIST</t>
  </si>
  <si>
    <t>FDIST</t>
  </si>
  <si>
    <t>F.DIST</t>
  </si>
  <si>
    <t>F.DIST.RT</t>
  </si>
  <si>
    <t>FINV</t>
  </si>
  <si>
    <t>F.INV.RT</t>
  </si>
  <si>
    <t>F.INV</t>
  </si>
  <si>
    <t>FISHER</t>
  </si>
  <si>
    <t>FISHERINV</t>
  </si>
  <si>
    <t>FTEST</t>
  </si>
  <si>
    <t>F.TEST</t>
  </si>
  <si>
    <t>GAMMADIST</t>
  </si>
  <si>
    <t>GAMMA.DIST</t>
  </si>
  <si>
    <t>GAMMAINV</t>
  </si>
  <si>
    <t>GAMMA.INV</t>
  </si>
  <si>
    <t>GAMMALN</t>
  </si>
  <si>
    <t>GAMMALN.PRECISE</t>
  </si>
  <si>
    <t>HYPGEOMDIST</t>
  </si>
  <si>
    <t>HYPGEOM.DIST</t>
  </si>
  <si>
    <t>LOGNORMDIST</t>
  </si>
  <si>
    <t>LOGNORM.DIST</t>
  </si>
  <si>
    <t>LOGINV</t>
  </si>
  <si>
    <t>LOGNORM.INV</t>
  </si>
  <si>
    <t>NORMDIST</t>
  </si>
  <si>
    <t>NORM.DIST</t>
  </si>
  <si>
    <t>NORMINV</t>
  </si>
  <si>
    <t>NORM.INV</t>
  </si>
  <si>
    <t>NORMSDIST</t>
  </si>
  <si>
    <t>NORMSINV</t>
  </si>
  <si>
    <t>NORM.S.INV</t>
  </si>
  <si>
    <t>NORM.S.DIST</t>
  </si>
  <si>
    <t>PEARSON</t>
  </si>
  <si>
    <t>RSQ</t>
  </si>
  <si>
    <t>POISSON</t>
  </si>
  <si>
    <t>POISSON.DIST</t>
  </si>
  <si>
    <t>PROB</t>
  </si>
  <si>
    <t>SKEW</t>
  </si>
  <si>
    <t>STANDARDIZE</t>
  </si>
  <si>
    <t>TDIST</t>
  </si>
  <si>
    <t>T.DIST</t>
  </si>
  <si>
    <t>T.DIST.RT</t>
  </si>
  <si>
    <t>T.DIST.2T</t>
  </si>
  <si>
    <t>TINV</t>
  </si>
  <si>
    <t>T.INV.2T</t>
  </si>
  <si>
    <t>T.INV</t>
  </si>
  <si>
    <t>TTEST</t>
  </si>
  <si>
    <t>T.TEST</t>
  </si>
  <si>
    <t>WEIBULL</t>
  </si>
  <si>
    <t>WEIBULL.DIST</t>
  </si>
  <si>
    <t>ZTEST</t>
  </si>
  <si>
    <t>Z.TEST</t>
  </si>
  <si>
    <t>PERMUT</t>
  </si>
  <si>
    <t>ACOT</t>
  </si>
  <si>
    <t>ACOTH</t>
  </si>
  <si>
    <t>ARABIC</t>
  </si>
  <si>
    <t>BASE</t>
  </si>
  <si>
    <t>COMBINA</t>
  </si>
  <si>
    <t>COT</t>
  </si>
  <si>
    <t>COTH</t>
  </si>
  <si>
    <t>CSC</t>
  </si>
  <si>
    <t>CSCH</t>
  </si>
  <si>
    <t>DECIMAL</t>
  </si>
  <si>
    <t>FLOOR.MATH</t>
  </si>
  <si>
    <t>SEC</t>
  </si>
  <si>
    <t>SECH</t>
  </si>
  <si>
    <t>BINOM.DIST.RANGE</t>
  </si>
  <si>
    <t>GAMMA</t>
  </si>
  <si>
    <t>MAXIFS</t>
  </si>
  <si>
    <t>GAUSS</t>
  </si>
  <si>
    <t>MINIFS</t>
  </si>
  <si>
    <t>PERMUTATIONA</t>
  </si>
  <si>
    <t>PHI</t>
  </si>
  <si>
    <t>SKEW.P</t>
  </si>
  <si>
    <t>BAHTTEXT</t>
  </si>
  <si>
    <t>CONCAT</t>
  </si>
  <si>
    <t>FINDB</t>
  </si>
  <si>
    <t>LEFTB</t>
  </si>
  <si>
    <t>LENB</t>
  </si>
  <si>
    <t>MIDB</t>
  </si>
  <si>
    <t>REPLACEB</t>
  </si>
  <si>
    <t>RIGHTB</t>
  </si>
  <si>
    <t>SEARCHB</t>
  </si>
  <si>
    <t>TEXTJOIN</t>
  </si>
  <si>
    <t>UNICHAR</t>
  </si>
  <si>
    <t>UNICODE</t>
  </si>
  <si>
    <t>BITAND</t>
  </si>
  <si>
    <t>BITLSHIFT</t>
  </si>
  <si>
    <t>BITOR</t>
  </si>
  <si>
    <t>BITRSHIFT</t>
  </si>
  <si>
    <t>BITXOR</t>
  </si>
  <si>
    <t>IMCOSH</t>
  </si>
  <si>
    <t>IMCOT</t>
  </si>
  <si>
    <t>IMCSC</t>
  </si>
  <si>
    <t>IMCSCH</t>
  </si>
  <si>
    <t>IMSEC</t>
  </si>
  <si>
    <t>IMSECH</t>
  </si>
  <si>
    <t>IMSINH</t>
  </si>
  <si>
    <t>IMTAN</t>
  </si>
  <si>
    <t>DAYS</t>
  </si>
  <si>
    <t>ISOWEEKNUM</t>
  </si>
  <si>
    <t>IFNA</t>
  </si>
  <si>
    <t>IFS</t>
  </si>
  <si>
    <t>SWITCH</t>
  </si>
  <si>
    <t>XOR</t>
  </si>
  <si>
    <t>PDURATION</t>
  </si>
  <si>
    <t>ISFORMULA</t>
  </si>
  <si>
    <t>AREAS</t>
  </si>
  <si>
    <t>FORMULATEXT</t>
  </si>
  <si>
    <t>HYPERLINK</t>
  </si>
  <si>
    <t>ENCODEURL</t>
  </si>
  <si>
    <t>CEILING.MATH</t>
  </si>
  <si>
    <t>CONVERT</t>
  </si>
  <si>
    <t>XMATCH</t>
  </si>
  <si>
    <t>XLOOKUP</t>
  </si>
  <si>
    <t>LET</t>
  </si>
  <si>
    <t>OBJECT</t>
  </si>
  <si>
    <t>PROPERTY</t>
  </si>
  <si>
    <t>WEBSERVICE</t>
  </si>
  <si>
    <t>FILTERJSON</t>
  </si>
  <si>
    <t>TIMEAGO</t>
  </si>
  <si>
    <t>SPELLNUMS</t>
  </si>
  <si>
    <t>背景</t>
  </si>
  <si>
    <t>填充</t>
  </si>
  <si>
    <t>边框</t>
  </si>
  <si>
    <t>合并</t>
  </si>
  <si>
    <t>横向合并</t>
  </si>
  <si>
    <t>竖向合并</t>
  </si>
  <si>
    <t>区域合并</t>
  </si>
  <si>
    <t>字体与对齐</t>
  </si>
  <si>
    <t>字体</t>
  </si>
  <si>
    <t>字号</t>
  </si>
  <si>
    <t>加粗</t>
  </si>
  <si>
    <t>斜体</t>
  </si>
  <si>
    <t>装饰</t>
  </si>
  <si>
    <t>对齐</t>
  </si>
  <si>
    <t>颜色</t>
  </si>
  <si>
    <t>回行</t>
  </si>
  <si>
    <t>缩进</t>
  </si>
  <si>
    <t>自适应</t>
  </si>
  <si>
    <t>AutOffice</t>
  </si>
  <si>
    <t>FontSize</t>
  </si>
  <si>
    <t>Bold</t>
  </si>
  <si>
    <t>Italic</t>
  </si>
  <si>
    <t>UnderLine</t>
  </si>
  <si>
    <t>Align</t>
  </si>
  <si>
    <t>Forecolor</t>
  </si>
  <si>
    <t>Word-Wrap Word-Wrap Word-Wrap</t>
  </si>
  <si>
    <t>Indent</t>
  </si>
  <si>
    <t>DbUnderLine</t>
  </si>
  <si>
    <t>Word Wrap</t>
  </si>
  <si>
    <t>单元格格式</t>
  </si>
  <si>
    <t>数值</t>
  </si>
  <si>
    <t>格式</t>
  </si>
  <si>
    <t>显示</t>
  </si>
  <si>
    <t>单元格类型</t>
  </si>
  <si>
    <t>产品部</t>
  </si>
  <si>
    <t>数字</t>
  </si>
  <si>
    <t>货币</t>
  </si>
  <si>
    <t>色彩选择</t>
  </si>
  <si>
    <t>日期选择</t>
  </si>
  <si>
    <t>时间选择</t>
  </si>
  <si>
    <t>计算器</t>
  </si>
  <si>
    <t>会计专用</t>
  </si>
  <si>
    <t>短日期</t>
  </si>
  <si>
    <t>长日期</t>
  </si>
  <si>
    <t>百分数</t>
  </si>
  <si>
    <t>科学计数</t>
  </si>
  <si>
    <t>计数项:ID</t>
  </si>
  <si>
    <t>列标签</t>
  </si>
  <si>
    <t>行标签</t>
  </si>
  <si>
    <t>咸阳</t>
  </si>
  <si>
    <t>商洛</t>
  </si>
  <si>
    <t>安康</t>
  </si>
  <si>
    <t>宝鸡</t>
  </si>
  <si>
    <t>延安</t>
  </si>
  <si>
    <t>杨凌</t>
  </si>
  <si>
    <t>榆林</t>
  </si>
  <si>
    <t>汉中</t>
  </si>
  <si>
    <t>渭南</t>
  </si>
  <si>
    <t>西安</t>
  </si>
  <si>
    <t>铜川</t>
  </si>
  <si>
    <t>韩城</t>
  </si>
  <si>
    <t>总计</t>
  </si>
  <si>
    <t>人文历史</t>
  </si>
  <si>
    <t>大巴</t>
  </si>
  <si>
    <t>火车</t>
  </si>
  <si>
    <t>自驾</t>
  </si>
  <si>
    <t>飞机</t>
  </si>
  <si>
    <t>高铁</t>
  </si>
  <si>
    <t>休闲旅游</t>
  </si>
  <si>
    <t>自然风光</t>
  </si>
  <si>
    <t>ID</t>
  </si>
  <si>
    <t>tourist_attraction</t>
  </si>
  <si>
    <t>level</t>
  </si>
  <si>
    <t>city</t>
  </si>
  <si>
    <t>type</t>
  </si>
  <si>
    <t>name</t>
  </si>
  <si>
    <t>transportation</t>
  </si>
  <si>
    <t>visitor_type</t>
  </si>
  <si>
    <t>visitor_status</t>
  </si>
  <si>
    <t>organization</t>
  </si>
  <si>
    <t>education_level</t>
  </si>
  <si>
    <t>pay_method</t>
  </si>
  <si>
    <t>discount</t>
  </si>
  <si>
    <t>date</t>
  </si>
  <si>
    <t>红河谷森林公园</t>
  </si>
  <si>
    <t>4A</t>
  </si>
  <si>
    <t>Tourist715</t>
  </si>
  <si>
    <t>就医疗养</t>
  </si>
  <si>
    <t>华侨</t>
  </si>
  <si>
    <t>零散游客</t>
  </si>
  <si>
    <t>本科</t>
  </si>
  <si>
    <t>线下团购</t>
  </si>
  <si>
    <t>茂陵博物馆</t>
  </si>
  <si>
    <t>Tourist716</t>
  </si>
  <si>
    <t>度假</t>
  </si>
  <si>
    <t>线上团购</t>
  </si>
  <si>
    <t>武侯墓博物馆</t>
  </si>
  <si>
    <t>Tourist717</t>
  </si>
  <si>
    <t>参加会议</t>
  </si>
  <si>
    <t>外国人</t>
  </si>
  <si>
    <t>其他</t>
  </si>
  <si>
    <t>侍郎湖景区</t>
  </si>
  <si>
    <t>3A</t>
  </si>
  <si>
    <t>Tourist718</t>
  </si>
  <si>
    <t>国内游客</t>
  </si>
  <si>
    <t>硕士及以上</t>
  </si>
  <si>
    <t>旅游年卡</t>
  </si>
  <si>
    <t>榆阳区补浪河女子民兵治沙连</t>
  </si>
  <si>
    <t>Tourist719</t>
  </si>
  <si>
    <t>洛川会议纪念馆</t>
  </si>
  <si>
    <t>Tourist720</t>
  </si>
  <si>
    <t>台湾同胞</t>
  </si>
  <si>
    <t>大专</t>
  </si>
  <si>
    <t>陕西华清宫文化旅游景区</t>
  </si>
  <si>
    <t>5A</t>
  </si>
  <si>
    <t>Tourist721</t>
  </si>
  <si>
    <t>韩城王峰景区</t>
  </si>
  <si>
    <t>Tourist722</t>
  </si>
  <si>
    <t>购物</t>
  </si>
  <si>
    <t>港澳同胞</t>
  </si>
  <si>
    <t>团体游客</t>
  </si>
  <si>
    <t>高中</t>
  </si>
  <si>
    <t>熊猫谷景区</t>
  </si>
  <si>
    <t>Tourist723</t>
  </si>
  <si>
    <t>灞渭车游湿地景区</t>
  </si>
  <si>
    <t>Tourist724</t>
  </si>
  <si>
    <t>现金</t>
  </si>
  <si>
    <t>安康博物馆</t>
  </si>
  <si>
    <t>Tourist725</t>
  </si>
  <si>
    <t>娱乐</t>
  </si>
  <si>
    <t>微信</t>
  </si>
  <si>
    <t>大荔畅家田园综合体景区</t>
  </si>
  <si>
    <t>Tourist726</t>
  </si>
  <si>
    <t>休闲</t>
  </si>
  <si>
    <t>大荔县福佑古寨景区</t>
  </si>
  <si>
    <t>Tourist727</t>
  </si>
  <si>
    <t>黄龙山景区</t>
  </si>
  <si>
    <t>Tourist728</t>
  </si>
  <si>
    <t>探亲访友</t>
  </si>
  <si>
    <t>炎帝影视基地</t>
  </si>
  <si>
    <t>Tourist729</t>
  </si>
  <si>
    <t>吴起铁边城古镇旅游景区</t>
  </si>
  <si>
    <t>Tourist730</t>
  </si>
  <si>
    <t>初中</t>
  </si>
  <si>
    <t>照金—香山景区</t>
  </si>
  <si>
    <t>Tourist731</t>
  </si>
  <si>
    <t>耀州窑博物馆</t>
  </si>
  <si>
    <t>Tourist732</t>
  </si>
  <si>
    <t>延安清凉山景区</t>
  </si>
  <si>
    <t>Tourist733</t>
  </si>
  <si>
    <t>通天河国家森林公园</t>
  </si>
  <si>
    <t>Tourist734</t>
  </si>
  <si>
    <t>童话磨石沟旅游度假村</t>
  </si>
  <si>
    <t>Tourist735</t>
  </si>
  <si>
    <t>支付宝</t>
  </si>
  <si>
    <t>西安关中民俗艺术博物院</t>
  </si>
  <si>
    <t>Tourist736</t>
  </si>
  <si>
    <t>蔡伦墓祠</t>
  </si>
  <si>
    <t>Tourist737</t>
  </si>
  <si>
    <t>Tourist738</t>
  </si>
  <si>
    <t>木王山景区</t>
  </si>
  <si>
    <t>Tourist739</t>
  </si>
  <si>
    <t>鲸鱼沟竹海景区</t>
  </si>
  <si>
    <t>Tourist740</t>
  </si>
  <si>
    <t>药王故里景区</t>
  </si>
  <si>
    <t>Tourist741</t>
  </si>
  <si>
    <t>西部兰花园</t>
  </si>
  <si>
    <t>Tourist742</t>
  </si>
  <si>
    <t>Tourist743</t>
  </si>
  <si>
    <t>泾阳龙泉公社</t>
  </si>
  <si>
    <t>Tourist744</t>
  </si>
  <si>
    <t>石门山国家森林公园</t>
  </si>
  <si>
    <t>Tourist745</t>
  </si>
  <si>
    <t>蒲城县王鼎纪念馆</t>
  </si>
  <si>
    <t>Tourist746</t>
  </si>
  <si>
    <t>西安碑林博物馆</t>
  </si>
  <si>
    <t>Tourist747</t>
  </si>
  <si>
    <t>西安广新园民族村</t>
  </si>
  <si>
    <t>Tourist748</t>
  </si>
  <si>
    <t>陕西张裕瑞那城堡酒庄</t>
  </si>
  <si>
    <t>Tourist749</t>
  </si>
  <si>
    <t>澄城县博物馆</t>
  </si>
  <si>
    <t>Tourist750</t>
  </si>
  <si>
    <t>横山区茅庐界景区</t>
  </si>
  <si>
    <t>Tourist751</t>
  </si>
  <si>
    <t>汉江石泉古城景区</t>
  </si>
  <si>
    <t>Tourist752</t>
  </si>
  <si>
    <t>天台国家森林公园</t>
  </si>
  <si>
    <t>Tourist753</t>
  </si>
  <si>
    <t>万盛园酱菜博物馆</t>
  </si>
  <si>
    <t>Tourist754</t>
  </si>
  <si>
    <t>西安大汉上林苑（杜陵）生态景区</t>
  </si>
  <si>
    <t>Tourist755</t>
  </si>
  <si>
    <t>关中风情园</t>
  </si>
  <si>
    <t>Tourist756</t>
  </si>
  <si>
    <t>陇县西武当风景区</t>
  </si>
  <si>
    <t>Tourist757</t>
  </si>
  <si>
    <t>仓颉庙景区</t>
  </si>
  <si>
    <t>Tourist758</t>
  </si>
  <si>
    <t>杨震廉政博物馆</t>
  </si>
  <si>
    <t>Tourist759</t>
  </si>
  <si>
    <t>拜将坛遗址景区</t>
  </si>
  <si>
    <t>Tourist760</t>
  </si>
  <si>
    <t>延安凤凰山革命旧址</t>
  </si>
  <si>
    <t>Tourist761</t>
  </si>
  <si>
    <t>大明宫国家遗址公园</t>
  </si>
  <si>
    <t>Tourist762</t>
  </si>
  <si>
    <t>西安金龙峡风景区</t>
  </si>
  <si>
    <t>Tourist763</t>
  </si>
  <si>
    <t>翠屏山景区</t>
  </si>
  <si>
    <t>Tourist764</t>
  </si>
  <si>
    <t>青峰峡森林公园</t>
  </si>
  <si>
    <t>Tourist765</t>
  </si>
  <si>
    <t>西安白鹿原葡萄主题公园</t>
  </si>
  <si>
    <t>Tourist766</t>
  </si>
  <si>
    <t>丰图义仓</t>
  </si>
  <si>
    <t>Tourist767</t>
  </si>
  <si>
    <t>韩城市博物馆</t>
  </si>
  <si>
    <t>Tourist768</t>
  </si>
  <si>
    <t>Tourist769</t>
  </si>
  <si>
    <t>西安大秦温泉景区</t>
  </si>
  <si>
    <t>Tourist770</t>
  </si>
  <si>
    <t>Tourist771</t>
  </si>
  <si>
    <t>唐惠陵景区</t>
  </si>
  <si>
    <t>Tourist772</t>
  </si>
  <si>
    <t>渭南桃花源景区</t>
  </si>
  <si>
    <t>Tourist773</t>
  </si>
  <si>
    <t>塔云山景区</t>
  </si>
  <si>
    <t>Tourist774</t>
  </si>
  <si>
    <t>陕西秦岭大坝沟景区</t>
  </si>
  <si>
    <t>Tourist775</t>
  </si>
  <si>
    <t>灵宝峡景区</t>
  </si>
  <si>
    <t>Tourist776</t>
  </si>
  <si>
    <t>Tourist777</t>
  </si>
  <si>
    <t>萧何曹参遗址公园</t>
  </si>
  <si>
    <t>Tourist778</t>
  </si>
  <si>
    <t>蟒头山国家森林公园</t>
  </si>
  <si>
    <t>Tourist779</t>
  </si>
  <si>
    <t>延安宝塔山景区</t>
  </si>
  <si>
    <t>Tourist780</t>
  </si>
  <si>
    <t>Tourist781</t>
  </si>
  <si>
    <t>澄城县城隍庙神楼</t>
  </si>
  <si>
    <t>Tourist782</t>
  </si>
  <si>
    <t>神农现代农业园区</t>
  </si>
  <si>
    <t>Tourist783</t>
  </si>
  <si>
    <t>黄河国际赛道公园</t>
  </si>
  <si>
    <t>Tourist784</t>
  </si>
  <si>
    <t>西安流峪飞峡生态旅游区</t>
  </si>
  <si>
    <t>Tourist785</t>
  </si>
  <si>
    <t>石门栈道景风区</t>
  </si>
  <si>
    <t>Tourist786</t>
  </si>
  <si>
    <t>Tourist787</t>
  </si>
  <si>
    <t>炎帝陵景区</t>
  </si>
  <si>
    <t>Tourist788</t>
  </si>
  <si>
    <t>咸阳金源山庄</t>
  </si>
  <si>
    <t>Tourist789</t>
  </si>
  <si>
    <t>林皋慢城旅游景区</t>
  </si>
  <si>
    <t>Tourist790</t>
  </si>
  <si>
    <t>钓鱼台风景名胜区</t>
  </si>
  <si>
    <t>Tourist791</t>
  </si>
  <si>
    <t>渭南老街</t>
  </si>
  <si>
    <t>Tourist792</t>
  </si>
  <si>
    <t>延安万花山风景区</t>
  </si>
  <si>
    <t>Tourist793</t>
  </si>
  <si>
    <t>Tourist794</t>
  </si>
  <si>
    <t>商州蟒岭绿道景区</t>
  </si>
  <si>
    <t>Tourist795</t>
  </si>
  <si>
    <t>青木川古镇景区</t>
  </si>
  <si>
    <t>Tourist796</t>
  </si>
  <si>
    <t>Tourist797</t>
  </si>
  <si>
    <t>韩城庆善寺</t>
  </si>
  <si>
    <t>Tourist798</t>
  </si>
  <si>
    <t>Tourist799</t>
  </si>
  <si>
    <t>洽川景区</t>
  </si>
  <si>
    <t>Tourist800</t>
  </si>
  <si>
    <t>富县太和山景区</t>
  </si>
  <si>
    <t>Tourist801</t>
  </si>
  <si>
    <t>古汉台景区</t>
  </si>
  <si>
    <t>Tourist802</t>
  </si>
  <si>
    <t>佳县神泉堡革命纪念馆</t>
  </si>
  <si>
    <t>Tourist803</t>
  </si>
  <si>
    <t>志丹刘志丹烈士陵园</t>
  </si>
  <si>
    <t>Tourist804</t>
  </si>
  <si>
    <t>老君山旅游景区</t>
  </si>
  <si>
    <t>Tourist805</t>
  </si>
  <si>
    <t>志丹县九吾山森林公园</t>
  </si>
  <si>
    <t>Tourist806</t>
  </si>
  <si>
    <t>Tourist807</t>
  </si>
  <si>
    <t>玉华宫景区</t>
  </si>
  <si>
    <t>Tourist808</t>
  </si>
  <si>
    <t>杨虎城将军纪念馆</t>
  </si>
  <si>
    <t>Tourist809</t>
  </si>
  <si>
    <t>Tourist810</t>
  </si>
  <si>
    <t>凤凰古镇景区</t>
  </si>
  <si>
    <t>Tourist811</t>
  </si>
  <si>
    <t>西安半坡博物馆</t>
  </si>
  <si>
    <t>Tourist812</t>
  </si>
  <si>
    <t>Tourist813</t>
  </si>
  <si>
    <t>Tourist814</t>
  </si>
  <si>
    <t>西安常宁宫休闲山庄</t>
  </si>
  <si>
    <t>Tourist815</t>
  </si>
  <si>
    <t>红碱淖旅游景区</t>
  </si>
  <si>
    <t>Tourist816</t>
  </si>
  <si>
    <t>万安禅院石窟景区</t>
  </si>
  <si>
    <t>Tourist817</t>
  </si>
  <si>
    <t>秦楚古道旅游区</t>
  </si>
  <si>
    <t>Tourist818</t>
  </si>
  <si>
    <t>西安高陵奇石博物馆</t>
  </si>
  <si>
    <t>Tourist819</t>
  </si>
  <si>
    <t>延安市杜公祠景区</t>
  </si>
  <si>
    <t>Tourist820</t>
  </si>
  <si>
    <t>Tourist821</t>
  </si>
  <si>
    <t>武功县姜嫄水乡景区 </t>
  </si>
  <si>
    <t>Tourist822</t>
  </si>
  <si>
    <t>西安金鼎蓝田玉石艺园</t>
  </si>
  <si>
    <t>Tourist823</t>
  </si>
  <si>
    <t>西安辋川溶洞风景区</t>
  </si>
  <si>
    <t>Tourist824</t>
  </si>
  <si>
    <t>武侯祠博物馆</t>
  </si>
  <si>
    <t>Tourist825</t>
  </si>
  <si>
    <t>上王村景区</t>
  </si>
  <si>
    <t>Tourist826</t>
  </si>
  <si>
    <t>西安大唐西市文化景区</t>
  </si>
  <si>
    <t>Tourist827</t>
  </si>
  <si>
    <t>西安博物院（小雁塔）</t>
  </si>
  <si>
    <t>Tourist828</t>
  </si>
  <si>
    <t>牧护关滑雪场景区</t>
  </si>
  <si>
    <t>Tourist829</t>
  </si>
  <si>
    <t>Tourist830</t>
  </si>
  <si>
    <t>Tourist831</t>
  </si>
  <si>
    <t>尧头窑文化旅游生态园区</t>
  </si>
  <si>
    <t>Tourist832</t>
  </si>
  <si>
    <t>药王山景区</t>
  </si>
  <si>
    <t>Tourist833</t>
  </si>
  <si>
    <t>九成宫碑亭景区</t>
  </si>
  <si>
    <t>Tourist834</t>
  </si>
  <si>
    <t>延川县黄河乾坤湾旅游景区</t>
  </si>
  <si>
    <t>Tourist835</t>
  </si>
  <si>
    <t>千湖国家湿地公园</t>
  </si>
  <si>
    <t>Tourist836</t>
  </si>
  <si>
    <t>合阳县福山景区</t>
  </si>
  <si>
    <t>Tourist837</t>
  </si>
  <si>
    <t>绥德县绿源休闲生态园</t>
  </si>
  <si>
    <t>Tourist838</t>
  </si>
  <si>
    <t>永兴坊景区</t>
  </si>
  <si>
    <t>Tourist839</t>
  </si>
  <si>
    <t>Tourist840</t>
  </si>
  <si>
    <t>Tourist841</t>
  </si>
  <si>
    <t>甘泉劳山森林公园景区</t>
  </si>
  <si>
    <t>Tourist842</t>
  </si>
  <si>
    <t>金粟山景区</t>
  </si>
  <si>
    <t>Tourist843</t>
  </si>
  <si>
    <t>Tourist844</t>
  </si>
  <si>
    <t>牛背梁景区</t>
  </si>
  <si>
    <t>Tourist845</t>
  </si>
  <si>
    <t>延安枣园革命旧址</t>
  </si>
  <si>
    <t>Tourist846</t>
  </si>
  <si>
    <t>扶风野河山森林公园</t>
  </si>
  <si>
    <t>Tourist847</t>
  </si>
  <si>
    <t>南湖公园</t>
  </si>
  <si>
    <t>Tourist848</t>
  </si>
  <si>
    <t>吴山风景区</t>
  </si>
  <si>
    <t>Tourist849</t>
  </si>
  <si>
    <t>华阴市城市文化公园</t>
  </si>
  <si>
    <t>Tourist850</t>
  </si>
  <si>
    <t>五龙洞国家森林公园</t>
  </si>
  <si>
    <t>Tourist851</t>
  </si>
  <si>
    <t>南沙湖景区</t>
  </si>
  <si>
    <t>Tourist852</t>
  </si>
  <si>
    <t>紫阳文笔山景区</t>
  </si>
  <si>
    <t>Tourist853</t>
  </si>
  <si>
    <t>户县钟馗故里民俗文化旅游景区</t>
  </si>
  <si>
    <t>Tourist854</t>
  </si>
  <si>
    <t>Tourist855</t>
  </si>
  <si>
    <t>Tourist856</t>
  </si>
  <si>
    <t>汉阴县龙岗生态旅游区</t>
  </si>
  <si>
    <t>Tourist857</t>
  </si>
  <si>
    <t>周公庙风景名胜区</t>
  </si>
  <si>
    <t>Tourist858</t>
  </si>
  <si>
    <t>韩城坤元庙生态风景区</t>
  </si>
  <si>
    <t>Tourist859</t>
  </si>
  <si>
    <t>Tourist860</t>
  </si>
  <si>
    <t>Tourist861</t>
  </si>
  <si>
    <t>Tourist862</t>
  </si>
  <si>
    <t>宏兴码头生态观光园景区 </t>
  </si>
  <si>
    <t>Tourist863</t>
  </si>
  <si>
    <t>西安石羊农庄生态休闲观光园</t>
  </si>
  <si>
    <t>Tourist864</t>
  </si>
  <si>
    <t>原点新城商贸旅游示范区</t>
  </si>
  <si>
    <t>Tourist865</t>
  </si>
  <si>
    <t>Tourist866</t>
  </si>
  <si>
    <t>瀛湖旅游景区</t>
  </si>
  <si>
    <t>Tourist867</t>
  </si>
  <si>
    <t>乾陵博物馆</t>
  </si>
  <si>
    <t>Tourist868</t>
  </si>
  <si>
    <t>定边县石光银治沙造林示范区</t>
  </si>
  <si>
    <t>Tourist869</t>
  </si>
  <si>
    <t>曲江秦二世陵遗址公园景区</t>
  </si>
  <si>
    <t>Tourist870</t>
  </si>
  <si>
    <t>千层河旅游风景区</t>
  </si>
  <si>
    <t>Tourist871</t>
  </si>
  <si>
    <t>Tourist872</t>
  </si>
  <si>
    <t>西安市黑河旅游景区</t>
  </si>
  <si>
    <t>Tourist873</t>
  </si>
  <si>
    <t>渭南卤阳湖景区</t>
  </si>
  <si>
    <t>Tourist874</t>
  </si>
  <si>
    <t>Tourist875</t>
  </si>
  <si>
    <t>Tourist876</t>
  </si>
  <si>
    <t>Tourist877</t>
  </si>
  <si>
    <t>Tourist878</t>
  </si>
  <si>
    <t>陕西历史博物馆</t>
  </si>
  <si>
    <t>Tourist879</t>
  </si>
  <si>
    <t>Tourist880</t>
  </si>
  <si>
    <t>Tourist881</t>
  </si>
  <si>
    <t>灵山风景区</t>
  </si>
  <si>
    <t>Tourist882</t>
  </si>
  <si>
    <t>洛川苹果博览园景区</t>
  </si>
  <si>
    <t>Tourist883</t>
  </si>
  <si>
    <t>韩城市党家村景区</t>
  </si>
  <si>
    <t>Tourist884</t>
  </si>
  <si>
    <t>栈道漂流</t>
  </si>
  <si>
    <t>Tourist885</t>
  </si>
  <si>
    <t>黄帝陵景区</t>
  </si>
  <si>
    <t>Tourist886</t>
  </si>
  <si>
    <t>蒲城县清代考院博物馆</t>
  </si>
  <si>
    <t>Tourist887</t>
  </si>
  <si>
    <t>Tourist888</t>
  </si>
  <si>
    <t>乐华城乐华欢乐世界景区</t>
  </si>
  <si>
    <t>Tourist889</t>
  </si>
  <si>
    <t>天书峡景区</t>
  </si>
  <si>
    <t>Tourist890</t>
  </si>
  <si>
    <t>筒车湾休闲景区</t>
  </si>
  <si>
    <t>Tourist891</t>
  </si>
  <si>
    <t>Tourist892</t>
  </si>
  <si>
    <t>大清花家庭农场</t>
  </si>
  <si>
    <t>Tourist893</t>
  </si>
  <si>
    <t>Tourist894</t>
  </si>
  <si>
    <t>Tourist895</t>
  </si>
  <si>
    <t>咸阳李靖故居</t>
  </si>
  <si>
    <t>Tourist896</t>
  </si>
  <si>
    <t>临潼奥特莱斯景区</t>
  </si>
  <si>
    <t>Tourist897</t>
  </si>
  <si>
    <t>Tourist898</t>
  </si>
  <si>
    <t>桔园景区</t>
  </si>
  <si>
    <t>Tourist899</t>
  </si>
  <si>
    <t>周至水街沙沙河景区</t>
  </si>
  <si>
    <t>Tourist900</t>
  </si>
  <si>
    <t>草堂寺</t>
  </si>
  <si>
    <t>Tourist901</t>
  </si>
  <si>
    <t>白鹿原影视城景区</t>
  </si>
  <si>
    <t>Tourist902</t>
  </si>
  <si>
    <t>临潼区博物馆</t>
  </si>
  <si>
    <t>Tourist903</t>
  </si>
  <si>
    <t>古大散关景区</t>
  </si>
  <si>
    <t>Tourist904</t>
  </si>
  <si>
    <t>禹平川秦岭原乡旅游景区</t>
  </si>
  <si>
    <t>Tourist905</t>
  </si>
  <si>
    <t>三原博物馆</t>
  </si>
  <si>
    <t>Tourist906</t>
  </si>
  <si>
    <t>金丝峡丹江漂流景区</t>
  </si>
  <si>
    <t>Tourist907</t>
  </si>
  <si>
    <t>Tourist908</t>
  </si>
  <si>
    <t>汉水源森林公园</t>
  </si>
  <si>
    <t>Tourist909</t>
  </si>
  <si>
    <t>Tourist910</t>
  </si>
  <si>
    <t>Tourist911</t>
  </si>
  <si>
    <t>靖边县金鸡沙景区</t>
  </si>
  <si>
    <t>Tourist912</t>
  </si>
  <si>
    <t>靖边县小河会议旧址景区</t>
  </si>
  <si>
    <t>Tourist913</t>
  </si>
  <si>
    <t>华州皮影文化园</t>
  </si>
  <si>
    <t>Tourist914</t>
  </si>
  <si>
    <t>唐杨贵妃墓博物馆</t>
  </si>
  <si>
    <t>Tourist915</t>
  </si>
  <si>
    <t>Tourist916</t>
  </si>
  <si>
    <t>Tourist917</t>
  </si>
  <si>
    <t>Tourist918</t>
  </si>
  <si>
    <t>澄城县良周秦汉宫景区</t>
  </si>
  <si>
    <t>Tourist919</t>
  </si>
  <si>
    <t>Tourist920</t>
  </si>
  <si>
    <t>飞渡峡·黄安坝景区</t>
  </si>
  <si>
    <t>Tourist921</t>
  </si>
  <si>
    <t>韩城古城文化街区</t>
  </si>
  <si>
    <t>Tourist922</t>
  </si>
  <si>
    <t>朱雀国家森林公园</t>
  </si>
  <si>
    <t>Tourist923</t>
  </si>
  <si>
    <t>张骞纪念馆</t>
  </si>
  <si>
    <t>Tourist924</t>
  </si>
  <si>
    <t>Tourist925</t>
  </si>
  <si>
    <t>商於古道棣花文化旅游景区</t>
  </si>
  <si>
    <t>Tourist926</t>
  </si>
  <si>
    <t>渭南葡萄产业园</t>
  </si>
  <si>
    <t>Tourist927</t>
  </si>
  <si>
    <t>Tourist928</t>
  </si>
  <si>
    <t>Tourist929</t>
  </si>
  <si>
    <t>Tourist930</t>
  </si>
  <si>
    <t>Tourist931</t>
  </si>
  <si>
    <t>Tourist932</t>
  </si>
  <si>
    <t>东湖风景区</t>
  </si>
  <si>
    <t>Tourist933</t>
  </si>
  <si>
    <t>Tourist934</t>
  </si>
  <si>
    <t>韩城霸岭狩猎休闲山庄</t>
  </si>
  <si>
    <t>Tourist935</t>
  </si>
  <si>
    <t>米脂县李自成行宫景区</t>
  </si>
  <si>
    <t>Tourist936</t>
  </si>
  <si>
    <t>Tourist937</t>
  </si>
  <si>
    <t>Tourist938</t>
  </si>
  <si>
    <t>Tourist939</t>
  </si>
  <si>
    <t>五丈原风景名胜区</t>
  </si>
  <si>
    <t>Tourist940</t>
  </si>
  <si>
    <t>陕西翠华山国家地质公园</t>
  </si>
  <si>
    <t>Tourist941</t>
  </si>
  <si>
    <t>Tourist942</t>
  </si>
  <si>
    <t>Tourist943</t>
  </si>
  <si>
    <t>Tourist944</t>
  </si>
  <si>
    <t>华山御温泉景区</t>
  </si>
  <si>
    <t>Tourist945</t>
  </si>
  <si>
    <t>Tourist946</t>
  </si>
  <si>
    <t>Tourist947</t>
  </si>
  <si>
    <t>午子山风景名胜区</t>
  </si>
  <si>
    <t>Tourist948</t>
  </si>
  <si>
    <t>榆阳区季鸾公园景区</t>
  </si>
  <si>
    <t>Tourist949</t>
  </si>
  <si>
    <t>Tourist950</t>
  </si>
  <si>
    <t>清涧县路遥书苑景区</t>
  </si>
  <si>
    <t>Tourist951</t>
  </si>
  <si>
    <t>佳县赤牛坬民俗文化村</t>
  </si>
  <si>
    <t>Tourist952</t>
  </si>
  <si>
    <t>Tourist953</t>
  </si>
  <si>
    <t>白河县天宝梯彩农园景区</t>
  </si>
  <si>
    <t>Tourist954</t>
  </si>
  <si>
    <t>关山草原风景名胜区</t>
  </si>
  <si>
    <t>Tourist955</t>
  </si>
  <si>
    <t>绥德县文化广场</t>
  </si>
  <si>
    <t>Tourist956</t>
  </si>
  <si>
    <t xml:space="preserve"> 同州湖</t>
  </si>
  <si>
    <t>Tourist957</t>
  </si>
  <si>
    <t>龙首坝风景区</t>
  </si>
  <si>
    <t>Tourist958</t>
  </si>
  <si>
    <t>延安杨家岭革命旧址</t>
  </si>
  <si>
    <t>Tourist959</t>
  </si>
  <si>
    <t>西安秦岭野生动物园</t>
  </si>
  <si>
    <t>Tourist960</t>
  </si>
  <si>
    <t>水陆庵</t>
  </si>
  <si>
    <t>Tourist961</t>
  </si>
  <si>
    <t>Tourist962</t>
  </si>
  <si>
    <t>西安华南城景区</t>
  </si>
  <si>
    <t>Tourist963</t>
  </si>
  <si>
    <t>大禹庙景区</t>
  </si>
  <si>
    <t>Tourist964</t>
  </si>
  <si>
    <t>Tourist965</t>
  </si>
  <si>
    <t>Tourist966</t>
  </si>
  <si>
    <t>渭南航天生态园</t>
  </si>
  <si>
    <t>Tourist967</t>
  </si>
  <si>
    <t>商南县太子坪景区</t>
  </si>
  <si>
    <t>Tourist968</t>
  </si>
  <si>
    <t>鹿城公园</t>
  </si>
  <si>
    <t>Tourist969</t>
  </si>
  <si>
    <t>Tourist970</t>
  </si>
  <si>
    <t>大荔县八鱼石墓博物馆</t>
  </si>
  <si>
    <t>Tourist971</t>
  </si>
  <si>
    <t>福地湖景区</t>
  </si>
  <si>
    <t>Tourist972</t>
  </si>
  <si>
    <t>Tourist973</t>
  </si>
  <si>
    <t>延安革命纪念馆</t>
  </si>
  <si>
    <t>Tourist974</t>
  </si>
  <si>
    <t>Tourist975</t>
  </si>
  <si>
    <t>长青华阳景区</t>
  </si>
  <si>
    <t>Tourist976</t>
  </si>
  <si>
    <t>Tourist977</t>
  </si>
  <si>
    <t>Tourist978</t>
  </si>
  <si>
    <t>Tourist979</t>
  </si>
  <si>
    <t>西安曲江楼观道文化展示区</t>
  </si>
  <si>
    <t>Tourist980</t>
  </si>
  <si>
    <t>Tourist981</t>
  </si>
  <si>
    <t>普照寺景区</t>
  </si>
  <si>
    <t>Tourist982</t>
  </si>
  <si>
    <t>骆家坝景区</t>
  </si>
  <si>
    <t>Tourist983</t>
  </si>
  <si>
    <t>香溪洞风景区</t>
  </si>
  <si>
    <t>Tourist984</t>
  </si>
  <si>
    <t>Tourist985</t>
  </si>
  <si>
    <t>Tourist986</t>
  </si>
  <si>
    <t>陕西太平国家森林公园</t>
  </si>
  <si>
    <t>Tourist987</t>
  </si>
  <si>
    <t>天蓬山寨景区</t>
  </si>
  <si>
    <t>Tourist988</t>
  </si>
  <si>
    <t>子洲县西峰寺景区</t>
  </si>
  <si>
    <t>Tourist989</t>
  </si>
  <si>
    <t>Tourist990</t>
  </si>
  <si>
    <t>灞桥生态湿地公园</t>
  </si>
  <si>
    <t>Tourist991</t>
  </si>
  <si>
    <t>Tourist992</t>
  </si>
  <si>
    <t>Tourist993</t>
  </si>
  <si>
    <t>Tourist994</t>
  </si>
  <si>
    <t>龙门洞森林公园</t>
  </si>
  <si>
    <t>Tourist995</t>
  </si>
  <si>
    <t>延川路遥故居景区</t>
  </si>
  <si>
    <t>Tourist996</t>
  </si>
  <si>
    <t>陶艺村景区</t>
  </si>
  <si>
    <t>Tourist997</t>
  </si>
  <si>
    <t>Tourist998</t>
  </si>
  <si>
    <t>Tourist999</t>
  </si>
  <si>
    <t>Tourist1000</t>
  </si>
  <si>
    <t>Tourist1001</t>
  </si>
  <si>
    <t>Tourist1002</t>
  </si>
  <si>
    <t>旬阳县红军纪念馆</t>
  </si>
  <si>
    <t>Tourist1003</t>
  </si>
  <si>
    <t>咀头休闲农业体验地</t>
  </si>
  <si>
    <t>Tourist1004</t>
  </si>
  <si>
    <t>Tourist1005</t>
  </si>
  <si>
    <t>Tourist1006</t>
  </si>
  <si>
    <t>Tourist1007</t>
  </si>
  <si>
    <t>志丹抗日红军大学旧址景区</t>
  </si>
  <si>
    <t>Tourist1008</t>
  </si>
  <si>
    <t>Tourist1009</t>
  </si>
  <si>
    <t>Tourist1010</t>
  </si>
  <si>
    <t>Tourist1011</t>
  </si>
  <si>
    <t>Tourist1012</t>
  </si>
  <si>
    <t>府谷县木瓜园堡</t>
  </si>
  <si>
    <t>Tourist1013</t>
  </si>
  <si>
    <t>九天山风景区</t>
  </si>
  <si>
    <t>Tourist1014</t>
  </si>
  <si>
    <t>Tourist1015</t>
  </si>
  <si>
    <t>陕西子长钟山石窟景区</t>
  </si>
  <si>
    <t>Tourist1016</t>
  </si>
  <si>
    <t>后湾村</t>
  </si>
  <si>
    <t>Tourist1017</t>
  </si>
  <si>
    <t>Tourist1018</t>
  </si>
  <si>
    <t>Tourist1019</t>
  </si>
  <si>
    <t>Tourist1020</t>
  </si>
  <si>
    <t>Tourist1021</t>
  </si>
  <si>
    <t>Tourist1022</t>
  </si>
  <si>
    <t>Tourist1023</t>
  </si>
  <si>
    <t>八路军西安办事处纪念馆</t>
  </si>
  <si>
    <t>Tourist1024</t>
  </si>
  <si>
    <t>黄柏塬原生态风景区</t>
  </si>
  <si>
    <t>Tourist1025</t>
  </si>
  <si>
    <t>Tourist1026</t>
  </si>
  <si>
    <t>Tourist1027</t>
  </si>
  <si>
    <t>西安青龙寺遗址景区</t>
  </si>
  <si>
    <t>Tourist1028</t>
  </si>
  <si>
    <t>Tourist1029</t>
  </si>
  <si>
    <t>丹凤金山旅游度假区</t>
  </si>
  <si>
    <t>Tourist1030</t>
  </si>
  <si>
    <t>Tourist1031</t>
  </si>
  <si>
    <t>Tourist1032</t>
  </si>
  <si>
    <t>太白山国家森林公园</t>
  </si>
  <si>
    <t>Tourist1033</t>
  </si>
  <si>
    <t>Tourist1034</t>
  </si>
  <si>
    <t>大水川旅游区</t>
  </si>
  <si>
    <t>Tourist1035</t>
  </si>
  <si>
    <t>安塞南沟景区</t>
  </si>
  <si>
    <t>Tourist1036</t>
  </si>
  <si>
    <t>Tourist1037</t>
  </si>
  <si>
    <t>Tourist1038</t>
  </si>
  <si>
    <t>Tourist1039</t>
  </si>
  <si>
    <t>Tourist1040</t>
  </si>
  <si>
    <t>Tourist1041</t>
  </si>
  <si>
    <t>马嵬驿民俗文化体验园</t>
  </si>
  <si>
    <t>Tourist1042</t>
  </si>
  <si>
    <t>黄土地窑洞生态度假庄园</t>
  </si>
  <si>
    <t>Tourist1043</t>
  </si>
  <si>
    <t>天台山—鸡峰山景区</t>
  </si>
  <si>
    <t>Tourist1044</t>
  </si>
  <si>
    <t>金台观道文化景区</t>
  </si>
  <si>
    <t>Tourist1045</t>
  </si>
  <si>
    <t>Tourist1046</t>
  </si>
  <si>
    <t>Tourist1047</t>
  </si>
  <si>
    <t>石泉子午银滩景区</t>
  </si>
  <si>
    <t>Tourist1048</t>
  </si>
  <si>
    <t>渭华起义纪念馆</t>
  </si>
  <si>
    <t>Tourist1049</t>
  </si>
  <si>
    <t>Tourist1</t>
  </si>
  <si>
    <t>Tourist2</t>
  </si>
  <si>
    <t>Tourist3</t>
  </si>
  <si>
    <t>蔡文姬纪念馆</t>
  </si>
  <si>
    <t>Tourist4</t>
  </si>
  <si>
    <t>闯王寨景区</t>
  </si>
  <si>
    <t>Tourist5</t>
  </si>
  <si>
    <t>Tourist6</t>
  </si>
  <si>
    <t>Tourist7</t>
  </si>
  <si>
    <t>雷音山风景区</t>
  </si>
  <si>
    <t>Tourist8</t>
  </si>
  <si>
    <t>Tourist9</t>
  </si>
  <si>
    <t>富县直罗战役纪念馆景区</t>
  </si>
  <si>
    <t>Tourist10</t>
  </si>
  <si>
    <t>Tourist11</t>
  </si>
  <si>
    <t>Tourist12</t>
  </si>
  <si>
    <t>吴堡县黄河二碛</t>
  </si>
  <si>
    <t>Tourist13</t>
  </si>
  <si>
    <t>Tourist14</t>
  </si>
  <si>
    <t>Tourist15</t>
  </si>
  <si>
    <t>Tourist16</t>
  </si>
  <si>
    <t>旬阳县蜀河古镇景区</t>
  </si>
  <si>
    <t>Tourist17</t>
  </si>
  <si>
    <t>Tourist18</t>
  </si>
  <si>
    <t>Tourist19</t>
  </si>
  <si>
    <t>Tourist20</t>
  </si>
  <si>
    <t>Tourist21</t>
  </si>
  <si>
    <t>泾阳崇文塔景区</t>
  </si>
  <si>
    <t>Tourist22</t>
  </si>
  <si>
    <t>Tourist23</t>
  </si>
  <si>
    <t>Tourist24</t>
  </si>
  <si>
    <t>Tourist25</t>
  </si>
  <si>
    <t>洛南音乐小镇景区</t>
  </si>
  <si>
    <t>Tourist26</t>
  </si>
  <si>
    <t>泾渭茯茶坊</t>
  </si>
  <si>
    <t>Tourist27</t>
  </si>
  <si>
    <t>Tourist28</t>
  </si>
  <si>
    <t>Tourist29</t>
  </si>
  <si>
    <t>西安浐灞国家湿地公园</t>
  </si>
  <si>
    <t>Tourist30</t>
  </si>
  <si>
    <t>Tourist31</t>
  </si>
  <si>
    <t>Tourist32</t>
  </si>
  <si>
    <t>西安世博园</t>
  </si>
  <si>
    <t>Tourist33</t>
  </si>
  <si>
    <t>大唐秦王陵</t>
  </si>
  <si>
    <t>Tourist34</t>
  </si>
  <si>
    <t>Tourist35</t>
  </si>
  <si>
    <t>金台山文化旅游区</t>
  </si>
  <si>
    <t>Tourist36</t>
  </si>
  <si>
    <t>Tourist37</t>
  </si>
  <si>
    <t>黄河壶口瀑布景区</t>
  </si>
  <si>
    <t>Tourist38</t>
  </si>
  <si>
    <t>少华山国家森林公园</t>
  </si>
  <si>
    <t>Tourist39</t>
  </si>
  <si>
    <t>Tourist40</t>
  </si>
  <si>
    <t>户县重阳宫</t>
  </si>
  <si>
    <t>Tourist41</t>
  </si>
  <si>
    <t>Tourist42</t>
  </si>
  <si>
    <t>Tourist43</t>
  </si>
  <si>
    <t>Tourist44</t>
  </si>
  <si>
    <t>Tourist45</t>
  </si>
  <si>
    <t>靖边县五台森林公园</t>
  </si>
  <si>
    <t>Tourist46</t>
  </si>
  <si>
    <t>Tourist47</t>
  </si>
  <si>
    <t>Tourist48</t>
  </si>
  <si>
    <t>蒙牛乳业工业旅游区</t>
  </si>
  <si>
    <t>Tourist49</t>
  </si>
  <si>
    <t>习仲勋革命活动旧址景区</t>
  </si>
  <si>
    <t>Tourist50</t>
  </si>
  <si>
    <t>Tourist51</t>
  </si>
  <si>
    <t>Tourist52</t>
  </si>
  <si>
    <t>Tourist53</t>
  </si>
  <si>
    <t>Tourist54</t>
  </si>
  <si>
    <t>Tourist55</t>
  </si>
  <si>
    <t>Tourist56</t>
  </si>
  <si>
    <t>Tourist57</t>
  </si>
  <si>
    <t>Tourist58</t>
  </si>
  <si>
    <t>西北农林科技大学博览园</t>
  </si>
  <si>
    <t>Tourist59</t>
  </si>
  <si>
    <t>Tourist60</t>
  </si>
  <si>
    <t>Tourist61</t>
  </si>
  <si>
    <t>Tourist62</t>
  </si>
  <si>
    <t>Tourist63</t>
  </si>
  <si>
    <t>西安汉城湖景区</t>
  </si>
  <si>
    <t>Tourist64</t>
  </si>
  <si>
    <t>黎坪国家森林公园</t>
  </si>
  <si>
    <t>Tourist65</t>
  </si>
  <si>
    <t>Tourist66</t>
  </si>
  <si>
    <t>Tourist67</t>
  </si>
  <si>
    <t>Tourist68</t>
  </si>
  <si>
    <t>Tourist69</t>
  </si>
  <si>
    <t>Tourist70</t>
  </si>
  <si>
    <t>Tourist71</t>
  </si>
  <si>
    <t>红寺湖</t>
  </si>
  <si>
    <t>Tourist72</t>
  </si>
  <si>
    <t>Tourist73</t>
  </si>
  <si>
    <t>Tourist74</t>
  </si>
  <si>
    <t>Tourist75</t>
  </si>
  <si>
    <t>Tourist76</t>
  </si>
  <si>
    <t>Tourist77</t>
  </si>
  <si>
    <t>Tourist78</t>
  </si>
  <si>
    <t>平利县龙头旅游村</t>
  </si>
  <si>
    <t>Tourist79</t>
  </si>
  <si>
    <t>Tourist80</t>
  </si>
  <si>
    <t>Tourist81</t>
  </si>
  <si>
    <t>红石峡景区</t>
  </si>
  <si>
    <t>Tourist82</t>
  </si>
  <si>
    <t>Tourist83</t>
  </si>
  <si>
    <t>Tourist84</t>
  </si>
  <si>
    <t>Tourist85</t>
  </si>
  <si>
    <t>榆阳黑龙潭景区</t>
  </si>
  <si>
    <t>Tourist86</t>
  </si>
  <si>
    <t>Tourist87</t>
  </si>
  <si>
    <t>横山区卧龙山景区</t>
  </si>
  <si>
    <t>Tourist88</t>
  </si>
  <si>
    <t>Tourist89</t>
  </si>
  <si>
    <t>镇安合曼般若小镇</t>
  </si>
  <si>
    <t>Tourist90</t>
  </si>
  <si>
    <t>Tourist91</t>
  </si>
  <si>
    <t>Tourist92</t>
  </si>
  <si>
    <t>六川河生态旅游区</t>
  </si>
  <si>
    <t>Tourist93</t>
  </si>
  <si>
    <t>咸阳茯茶文化体验园</t>
  </si>
  <si>
    <t>Tourist94</t>
  </si>
  <si>
    <t>Tourist95</t>
  </si>
  <si>
    <t>西安祥峪森林公园</t>
  </si>
  <si>
    <t>Tourist96</t>
  </si>
  <si>
    <t>Tourist97</t>
  </si>
  <si>
    <t>Tourist98</t>
  </si>
  <si>
    <t>Tourist99</t>
  </si>
  <si>
    <t>Tourist100</t>
  </si>
  <si>
    <t>Tourist101</t>
  </si>
  <si>
    <t>Tourist102</t>
  </si>
  <si>
    <t>Tourist103</t>
  </si>
  <si>
    <t>Tourist104</t>
  </si>
  <si>
    <t>洛南玫瑰小镇</t>
  </si>
  <si>
    <t>Tourist105</t>
  </si>
  <si>
    <t>Tourist106</t>
  </si>
  <si>
    <t>Tourist107</t>
  </si>
  <si>
    <t>山阳法官庙秦岭原乡农旅小镇</t>
  </si>
  <si>
    <t>Tourist108</t>
  </si>
  <si>
    <t>Tourist109</t>
  </si>
  <si>
    <t>Tourist110</t>
  </si>
  <si>
    <t>Tourist111</t>
  </si>
  <si>
    <t>西安广仁寺</t>
  </si>
  <si>
    <t>Tourist112</t>
  </si>
  <si>
    <t>Tourist113</t>
  </si>
  <si>
    <t>Tourist114</t>
  </si>
  <si>
    <t>Tourist115</t>
  </si>
  <si>
    <t>中央红军长征胜利纪念园</t>
  </si>
  <si>
    <t>Tourist116</t>
  </si>
  <si>
    <t>咸阳古渡遗址博物馆</t>
  </si>
  <si>
    <t>Tourist117</t>
  </si>
  <si>
    <t>Tourist118</t>
  </si>
  <si>
    <t>Tourist119</t>
  </si>
  <si>
    <t>子长龙虎山景区</t>
  </si>
  <si>
    <t>Tourist120</t>
  </si>
  <si>
    <t>Tourist121</t>
  </si>
  <si>
    <t>Tourist122</t>
  </si>
  <si>
    <t>Tourist123</t>
  </si>
  <si>
    <t>Tourist124</t>
  </si>
  <si>
    <t>Tourist125</t>
  </si>
  <si>
    <t>Tourist126</t>
  </si>
  <si>
    <t>Tourist127</t>
  </si>
  <si>
    <t>陕西黄陵国家森林公园</t>
  </si>
  <si>
    <t>Tourist128</t>
  </si>
  <si>
    <t>Tourist129</t>
  </si>
  <si>
    <t>金地景区</t>
  </si>
  <si>
    <t>Tourist130</t>
  </si>
  <si>
    <t>Tourist131</t>
  </si>
  <si>
    <t>Tourist132</t>
  </si>
  <si>
    <t>Tourist133</t>
  </si>
  <si>
    <t>Tourist134</t>
  </si>
  <si>
    <t>丹江漂流景区</t>
  </si>
  <si>
    <t>Tourist135</t>
  </si>
  <si>
    <t>Tourist136</t>
  </si>
  <si>
    <t>Tourist137</t>
  </si>
  <si>
    <t>Tourist138</t>
  </si>
  <si>
    <t>Tourist139</t>
  </si>
  <si>
    <t>Tourist140</t>
  </si>
  <si>
    <t>Tourist141</t>
  </si>
  <si>
    <t>Tourist142</t>
  </si>
  <si>
    <t>Tourist143</t>
  </si>
  <si>
    <t>Tourist144</t>
  </si>
  <si>
    <t>Tourist145</t>
  </si>
  <si>
    <t>Tourist146</t>
  </si>
  <si>
    <t>Tourist147</t>
  </si>
  <si>
    <t>Tourist148</t>
  </si>
  <si>
    <t>Tourist149</t>
  </si>
  <si>
    <t>Tourist150</t>
  </si>
  <si>
    <t>盛洲荷苑景区</t>
  </si>
  <si>
    <t>Tourist151</t>
  </si>
  <si>
    <t>古豳文化博览园</t>
  </si>
  <si>
    <t>Tourist152</t>
  </si>
  <si>
    <t>Tourist153</t>
  </si>
  <si>
    <t>Tourist154</t>
  </si>
  <si>
    <t>Tourist155</t>
  </si>
  <si>
    <t>Tourist156</t>
  </si>
  <si>
    <t>桃花谷旅游景区</t>
  </si>
  <si>
    <t>Tourist157</t>
  </si>
  <si>
    <t>户县万华山朝阳景区</t>
  </si>
  <si>
    <t>Tourist158</t>
  </si>
  <si>
    <t>Tourist159</t>
  </si>
  <si>
    <t>Tourist160</t>
  </si>
  <si>
    <t>Tourist161</t>
  </si>
  <si>
    <t>Tourist162</t>
  </si>
  <si>
    <t>Tourist163</t>
  </si>
  <si>
    <t>韩城市司马迁祠</t>
  </si>
  <si>
    <t>Tourist164</t>
  </si>
  <si>
    <t>西安阎良航空科技馆</t>
  </si>
  <si>
    <t>Tourist165</t>
  </si>
  <si>
    <t>Tourist166</t>
  </si>
  <si>
    <t>Tourist167</t>
  </si>
  <si>
    <t>陈炉古镇景区</t>
  </si>
  <si>
    <t>Tourist168</t>
  </si>
  <si>
    <t>Tourist169</t>
  </si>
  <si>
    <t>Tourist170</t>
  </si>
  <si>
    <t>安康高新生态休闲旅游区</t>
  </si>
  <si>
    <t>Tourist171</t>
  </si>
  <si>
    <t>Tourist172</t>
  </si>
  <si>
    <t>宜川县秋林第二战区长官司令部旧址</t>
  </si>
  <si>
    <t>Tourist173</t>
  </si>
  <si>
    <t>Tourist174</t>
  </si>
  <si>
    <t>Tourist175</t>
  </si>
  <si>
    <t>延安王家坪革命旧址</t>
  </si>
  <si>
    <t>Tourist176</t>
  </si>
  <si>
    <t>Tourist177</t>
  </si>
  <si>
    <t>红石峡生态公园景区</t>
  </si>
  <si>
    <t>Tourist178</t>
  </si>
  <si>
    <t>秦岭峡谷漂流景区</t>
  </si>
  <si>
    <t>Tourist179</t>
  </si>
  <si>
    <t>Tourist180</t>
  </si>
  <si>
    <t>韩城市晋公山风景区</t>
  </si>
  <si>
    <t>Tourist181</t>
  </si>
  <si>
    <t>Tourist182</t>
  </si>
  <si>
    <t>月亮洞景区</t>
  </si>
  <si>
    <t>Tourist183</t>
  </si>
  <si>
    <t>石川河景区</t>
  </si>
  <si>
    <t>Tourist184</t>
  </si>
  <si>
    <t>Tourist185</t>
  </si>
  <si>
    <t>Tourist186</t>
  </si>
  <si>
    <t>Tourist187</t>
  </si>
  <si>
    <t>Tourist188</t>
  </si>
  <si>
    <t>Tourist189</t>
  </si>
  <si>
    <t>蒲城巴厘岛温泉</t>
  </si>
  <si>
    <t>Tourist190</t>
  </si>
  <si>
    <t>Tourist191</t>
  </si>
  <si>
    <t>Tourist192</t>
  </si>
  <si>
    <t>Tourist193</t>
  </si>
  <si>
    <t>Tourist194</t>
  </si>
  <si>
    <t>永寿云集生态园</t>
  </si>
  <si>
    <t>Tourist195</t>
  </si>
  <si>
    <t>Tourist196</t>
  </si>
  <si>
    <t>漫川古镇景区</t>
  </si>
  <si>
    <t>Tourist197</t>
  </si>
  <si>
    <t>Tourist198</t>
  </si>
  <si>
    <t>Tourist199</t>
  </si>
  <si>
    <t>Tourist200</t>
  </si>
  <si>
    <t>Tourist201</t>
  </si>
  <si>
    <t>泾河新城茯茶镇</t>
  </si>
  <si>
    <t>Tourist202</t>
  </si>
  <si>
    <t>温泉河景区</t>
  </si>
  <si>
    <t>Tourist203</t>
  </si>
  <si>
    <t>大荔中节能光伏农业生态园景区</t>
  </si>
  <si>
    <t>Tourist204</t>
  </si>
  <si>
    <t>Tourist205</t>
  </si>
  <si>
    <t>Tourist206</t>
  </si>
  <si>
    <t>Tourist207</t>
  </si>
  <si>
    <t>Tourist208</t>
  </si>
  <si>
    <t>Tourist209</t>
  </si>
  <si>
    <t>Tourist210</t>
  </si>
  <si>
    <t>Tourist211</t>
  </si>
  <si>
    <t>Tourist212</t>
  </si>
  <si>
    <t>Tourist213</t>
  </si>
  <si>
    <t>杨虎城将军陵园</t>
  </si>
  <si>
    <t>Tourist214</t>
  </si>
  <si>
    <t>Tourist215</t>
  </si>
  <si>
    <t>Tourist216</t>
  </si>
  <si>
    <t>Tourist217</t>
  </si>
  <si>
    <t>Tourist218</t>
  </si>
  <si>
    <t>Tourist219</t>
  </si>
  <si>
    <t>Tourist220</t>
  </si>
  <si>
    <t>Tourist221</t>
  </si>
  <si>
    <t>杨凌新天地农业科技示范园</t>
  </si>
  <si>
    <t>Tourist222</t>
  </si>
  <si>
    <t>Tourist223</t>
  </si>
  <si>
    <t>Tourist224</t>
  </si>
  <si>
    <t>Tourist225</t>
  </si>
  <si>
    <t>Tourist226</t>
  </si>
  <si>
    <t>Tourist227</t>
  </si>
  <si>
    <t>宜君旱作梯田景区</t>
  </si>
  <si>
    <t>Tourist228</t>
  </si>
  <si>
    <t>Tourist229</t>
  </si>
  <si>
    <t>Tourist230</t>
  </si>
  <si>
    <t>袁家村关中印象体验地</t>
  </si>
  <si>
    <t>Tourist231</t>
  </si>
  <si>
    <t>横山区波罗古堡</t>
  </si>
  <si>
    <t>Tourist232</t>
  </si>
  <si>
    <t>洛川相思湖景区</t>
  </si>
  <si>
    <t>Tourist233</t>
  </si>
  <si>
    <t>Tourist234</t>
  </si>
  <si>
    <t>Tourist235</t>
  </si>
  <si>
    <t>Tourist236</t>
  </si>
  <si>
    <t>Tourist237</t>
  </si>
  <si>
    <t>Tourist238</t>
  </si>
  <si>
    <t>Tourist239</t>
  </si>
  <si>
    <t>Tourist240</t>
  </si>
  <si>
    <t>Tourist241</t>
  </si>
  <si>
    <t>Tourist242</t>
  </si>
  <si>
    <t>Tourist243</t>
  </si>
  <si>
    <t>大石头民俗旅游度假村</t>
  </si>
  <si>
    <t>Tourist244</t>
  </si>
  <si>
    <t>Tourist245</t>
  </si>
  <si>
    <t>Tourist246</t>
  </si>
  <si>
    <t>Tourist247</t>
  </si>
  <si>
    <t>Tourist248</t>
  </si>
  <si>
    <t>Tourist249</t>
  </si>
  <si>
    <t>Tourist250</t>
  </si>
  <si>
    <t>Tourist251</t>
  </si>
  <si>
    <t>Tourist252</t>
  </si>
  <si>
    <t>Tourist253</t>
  </si>
  <si>
    <t>Tourist254</t>
  </si>
  <si>
    <t>Tourist255</t>
  </si>
  <si>
    <t>Tourist256</t>
  </si>
  <si>
    <t>Tourist257</t>
  </si>
  <si>
    <t>蒲城林则徐纪念馆</t>
  </si>
  <si>
    <t>Tourist258</t>
  </si>
  <si>
    <t>Tourist259</t>
  </si>
  <si>
    <t>法门寺文化景区</t>
  </si>
  <si>
    <t>Tourist260</t>
  </si>
  <si>
    <t>Tourist261</t>
  </si>
  <si>
    <t>Tourist262</t>
  </si>
  <si>
    <t>Tourist263</t>
  </si>
  <si>
    <t>Tourist264</t>
  </si>
  <si>
    <t>绥德县创新现代农业园区</t>
  </si>
  <si>
    <t>Tourist265</t>
  </si>
  <si>
    <t>Tourist266</t>
  </si>
  <si>
    <t>榆阳区圣都乐园</t>
  </si>
  <si>
    <t>Tourist267</t>
  </si>
  <si>
    <t>Tourist268</t>
  </si>
  <si>
    <t>Tourist269</t>
  </si>
  <si>
    <t>凤县凤凰湖</t>
  </si>
  <si>
    <t>Tourist270</t>
  </si>
  <si>
    <t>Tourist271</t>
  </si>
  <si>
    <t>汉阳陵博物馆</t>
  </si>
  <si>
    <t>Tourist272</t>
  </si>
  <si>
    <t>Tourist273</t>
  </si>
  <si>
    <t>Tourist274</t>
  </si>
  <si>
    <t>安吴青训班纪念馆</t>
  </si>
  <si>
    <t>Tourist275</t>
  </si>
  <si>
    <t>Tourist276</t>
  </si>
  <si>
    <t>Tourist277</t>
  </si>
  <si>
    <t>Tourist278</t>
  </si>
  <si>
    <t>Tourist279</t>
  </si>
  <si>
    <t>Tourist280</t>
  </si>
  <si>
    <t>Tourist281</t>
  </si>
  <si>
    <t>Tourist282</t>
  </si>
  <si>
    <t>Tourist283</t>
  </si>
  <si>
    <t>Tourist284</t>
  </si>
  <si>
    <t>Tourist285</t>
  </si>
  <si>
    <t>Tourist286</t>
  </si>
  <si>
    <t>Tourist287</t>
  </si>
  <si>
    <t>Tourist288</t>
  </si>
  <si>
    <t>曲江海洋极地公园</t>
  </si>
  <si>
    <t>Tourist289</t>
  </si>
  <si>
    <t>Tourist290</t>
  </si>
  <si>
    <t>Tourist291</t>
  </si>
  <si>
    <t>Tourist292</t>
  </si>
  <si>
    <t>Tourist293</t>
  </si>
  <si>
    <t>Tourist294</t>
  </si>
  <si>
    <t>Tourist295</t>
  </si>
  <si>
    <t>Tourist296</t>
  </si>
  <si>
    <t>Tourist297</t>
  </si>
  <si>
    <t>紫柏山景区</t>
  </si>
  <si>
    <t>Tourist298</t>
  </si>
  <si>
    <t>甘泉湖旅游景区</t>
  </si>
  <si>
    <t>Tourist299</t>
  </si>
  <si>
    <t>Tourist300</t>
  </si>
  <si>
    <t>Tourist301</t>
  </si>
  <si>
    <t>Tourist302</t>
  </si>
  <si>
    <t>Tourist303</t>
  </si>
  <si>
    <t>Tourist304</t>
  </si>
  <si>
    <t>Tourist305</t>
  </si>
  <si>
    <t>西安大兴善寺</t>
  </si>
  <si>
    <t>Tourist306</t>
  </si>
  <si>
    <t>Tourist307</t>
  </si>
  <si>
    <t>Tourist308</t>
  </si>
  <si>
    <t>Tourist309</t>
  </si>
  <si>
    <t>马家堡关中特委革命旧址</t>
  </si>
  <si>
    <t>Tourist310</t>
  </si>
  <si>
    <t>柏峪神道岭景区</t>
  </si>
  <si>
    <t>Tourist311</t>
  </si>
  <si>
    <t>西咸沣东沣河生态景区</t>
  </si>
  <si>
    <t>Tourist312</t>
  </si>
  <si>
    <t>Tourist313</t>
  </si>
  <si>
    <t>Tourist314</t>
  </si>
  <si>
    <t>中华石鼓园</t>
  </si>
  <si>
    <t>Tourist315</t>
  </si>
  <si>
    <t>Tourist316</t>
  </si>
  <si>
    <t>Tourist317</t>
  </si>
  <si>
    <t>Tourist318</t>
  </si>
  <si>
    <t>柞水溶洞景区</t>
  </si>
  <si>
    <t>Tourist319</t>
  </si>
  <si>
    <t>Tourist320</t>
  </si>
  <si>
    <t>Tourist321</t>
  </si>
  <si>
    <t>Tourist322</t>
  </si>
  <si>
    <t>Tourist323</t>
  </si>
  <si>
    <t>Tourist324</t>
  </si>
  <si>
    <t>Tourist325</t>
  </si>
  <si>
    <t>Tourist326</t>
  </si>
  <si>
    <t>Tourist327</t>
  </si>
  <si>
    <t>Tourist328</t>
  </si>
  <si>
    <t>Tourist329</t>
  </si>
  <si>
    <t>Tourist330</t>
  </si>
  <si>
    <t>Tourist331</t>
  </si>
  <si>
    <t>Tourist332</t>
  </si>
  <si>
    <t>Tourist333</t>
  </si>
  <si>
    <t>扶风七星河湿地公园</t>
  </si>
  <si>
    <t>Tourist334</t>
  </si>
  <si>
    <t>Tourist335</t>
  </si>
  <si>
    <t>Tourist336</t>
  </si>
  <si>
    <t>Tourist337</t>
  </si>
  <si>
    <t>Tourist338</t>
  </si>
  <si>
    <t>Tourist339</t>
  </si>
  <si>
    <t>Tourist340</t>
  </si>
  <si>
    <t>大荔平罗农业公园</t>
  </si>
  <si>
    <t>Tourist341</t>
  </si>
  <si>
    <t>Tourist342</t>
  </si>
  <si>
    <t>Tourist343</t>
  </si>
  <si>
    <t>Tourist344</t>
  </si>
  <si>
    <t>Tourist345</t>
  </si>
  <si>
    <t>Tourist346</t>
  </si>
  <si>
    <t>Tourist347</t>
  </si>
  <si>
    <t>Tourist348</t>
  </si>
  <si>
    <t>Tourist349</t>
  </si>
  <si>
    <t>Tourist350</t>
  </si>
  <si>
    <t>凤县灵官峡景区</t>
  </si>
  <si>
    <t>Tourist351</t>
  </si>
  <si>
    <t>Tourist352</t>
  </si>
  <si>
    <t>Tourist353</t>
  </si>
  <si>
    <t>Tourist354</t>
  </si>
  <si>
    <t>Tourist355</t>
  </si>
  <si>
    <t>Tourist356</t>
  </si>
  <si>
    <t>Tourist357</t>
  </si>
  <si>
    <t>Tourist358</t>
  </si>
  <si>
    <t>Tourist359</t>
  </si>
  <si>
    <t>Tourist360</t>
  </si>
  <si>
    <t>Tourist361</t>
  </si>
  <si>
    <t>Tourist362</t>
  </si>
  <si>
    <t>Tourist363</t>
  </si>
  <si>
    <t>华山景区</t>
  </si>
  <si>
    <t>Tourist364</t>
  </si>
  <si>
    <t>Tourist365</t>
  </si>
  <si>
    <t>南湖风景区</t>
  </si>
  <si>
    <t>Tourist366</t>
  </si>
  <si>
    <t>Tourist367</t>
  </si>
  <si>
    <t>Tourist368</t>
  </si>
  <si>
    <t>Tourist369</t>
  </si>
  <si>
    <t>Tourist370</t>
  </si>
  <si>
    <t>Tourist371</t>
  </si>
  <si>
    <t>Tourist372</t>
  </si>
  <si>
    <t>Tourist373</t>
  </si>
  <si>
    <t>Tourist374</t>
  </si>
  <si>
    <t>Tourist375</t>
  </si>
  <si>
    <t>朱鹮梨园景区</t>
  </si>
  <si>
    <t>Tourist376</t>
  </si>
  <si>
    <t>西安市王顺山景区</t>
  </si>
  <si>
    <t>Tourist377</t>
  </si>
  <si>
    <t>昭陵博物馆</t>
  </si>
  <si>
    <t>Tourist378</t>
  </si>
  <si>
    <t>Tourist379</t>
  </si>
  <si>
    <t>Tourist380</t>
  </si>
  <si>
    <t>Tourist381</t>
  </si>
  <si>
    <t>Tourist382</t>
  </si>
  <si>
    <t>Tourist383</t>
  </si>
  <si>
    <t>Tourist384</t>
  </si>
  <si>
    <t>马咀欧洲风情小镇景区</t>
  </si>
  <si>
    <t>Tourist385</t>
  </si>
  <si>
    <t>Tourist386</t>
  </si>
  <si>
    <t>Tourist387</t>
  </si>
  <si>
    <t>Tourist388</t>
  </si>
  <si>
    <t>嘉陵江源头景区</t>
  </si>
  <si>
    <t>Tourist389</t>
  </si>
  <si>
    <t>耀州文庙街民俗风情景区</t>
  </si>
  <si>
    <t>Tourist390</t>
  </si>
  <si>
    <t>Tourist391</t>
  </si>
  <si>
    <t>柞水孝义小镇景区</t>
  </si>
  <si>
    <t>Tourist392</t>
  </si>
  <si>
    <t>Tourist393</t>
  </si>
  <si>
    <t>Tourist394</t>
  </si>
  <si>
    <t>Tourist395</t>
  </si>
  <si>
    <t>长安万华山景区</t>
  </si>
  <si>
    <t>Tourist396</t>
  </si>
  <si>
    <t>Tourist397</t>
  </si>
  <si>
    <t>Tourist398</t>
  </si>
  <si>
    <t>Tourist399</t>
  </si>
  <si>
    <t>镇北台景区</t>
  </si>
  <si>
    <t>Tourist400</t>
  </si>
  <si>
    <t>大荔新堡月季文化产业园景区</t>
  </si>
  <si>
    <t>Tourist401</t>
  </si>
  <si>
    <t>Tourist402</t>
  </si>
  <si>
    <t>Tourist403</t>
  </si>
  <si>
    <t>Tourist404</t>
  </si>
  <si>
    <t>Tourist405</t>
  </si>
  <si>
    <t>Tourist406</t>
  </si>
  <si>
    <t>Tourist407</t>
  </si>
  <si>
    <t>Tourist408</t>
  </si>
  <si>
    <t>Tourist409</t>
  </si>
  <si>
    <t>Tourist410</t>
  </si>
  <si>
    <t>Tourist411</t>
  </si>
  <si>
    <t>Tourist412</t>
  </si>
  <si>
    <t>马栏革命旧址</t>
  </si>
  <si>
    <t>Tourist413</t>
  </si>
  <si>
    <t>中坝大峡谷景区</t>
  </si>
  <si>
    <t>Tourist414</t>
  </si>
  <si>
    <t>Tourist415</t>
  </si>
  <si>
    <t>Tourist416</t>
  </si>
  <si>
    <t>眉县秦皇生态园</t>
  </si>
  <si>
    <t>Tourist417</t>
  </si>
  <si>
    <t>Tourist418</t>
  </si>
  <si>
    <t>Tourist419</t>
  </si>
  <si>
    <t>Tourist420</t>
  </si>
  <si>
    <t>汉江燕翔洞生态景区</t>
  </si>
  <si>
    <t>Tourist421</t>
  </si>
  <si>
    <t>Tourist422</t>
  </si>
  <si>
    <t>Tourist423</t>
  </si>
  <si>
    <t>Tourist424</t>
  </si>
  <si>
    <t>Tourist425</t>
  </si>
  <si>
    <t>Tourist426</t>
  </si>
  <si>
    <t>Tourist427</t>
  </si>
  <si>
    <t>Tourist428</t>
  </si>
  <si>
    <t>Tourist429</t>
  </si>
  <si>
    <t>Tourist430</t>
  </si>
  <si>
    <t>Tourist431</t>
  </si>
  <si>
    <t>Tourist432</t>
  </si>
  <si>
    <t>Tourist433</t>
  </si>
  <si>
    <t>Tourist434</t>
  </si>
  <si>
    <t>Tourist435</t>
  </si>
  <si>
    <t>宝鸡民俗博物馆</t>
  </si>
  <si>
    <t>Tourist436</t>
  </si>
  <si>
    <t>Tourist437</t>
  </si>
  <si>
    <t>Tourist438</t>
  </si>
  <si>
    <t>Tourist439</t>
  </si>
  <si>
    <t>Tourist440</t>
  </si>
  <si>
    <t>Tourist441</t>
  </si>
  <si>
    <t>象山森林公园</t>
  </si>
  <si>
    <t>Tourist442</t>
  </si>
  <si>
    <t>Tourist443</t>
  </si>
  <si>
    <t>Tourist444</t>
  </si>
  <si>
    <t>Tourist445</t>
  </si>
  <si>
    <t>Tourist446</t>
  </si>
  <si>
    <t>Tourist447</t>
  </si>
  <si>
    <t>Tourist448</t>
  </si>
  <si>
    <t>Tourist449</t>
  </si>
  <si>
    <t>Tourist450</t>
  </si>
  <si>
    <t>Tourist451</t>
  </si>
  <si>
    <t>Tourist452</t>
  </si>
  <si>
    <t>Tourist453</t>
  </si>
  <si>
    <t>Tourist454</t>
  </si>
  <si>
    <t>Tourist455</t>
  </si>
  <si>
    <t>Tourist456</t>
  </si>
  <si>
    <t>Tourist457</t>
  </si>
  <si>
    <t>Tourist458</t>
  </si>
  <si>
    <t>Tourist459</t>
  </si>
  <si>
    <t>Tourist460</t>
  </si>
  <si>
    <t>Tourist461</t>
  </si>
  <si>
    <t>消灾寺景区</t>
  </si>
  <si>
    <t>Tourist462</t>
  </si>
  <si>
    <t>Tourist463</t>
  </si>
  <si>
    <t>Tourist464</t>
  </si>
  <si>
    <t>Tourist465</t>
  </si>
  <si>
    <t>Tourist466</t>
  </si>
  <si>
    <t>Tourist467</t>
  </si>
  <si>
    <t>Tourist468</t>
  </si>
  <si>
    <t>Tourist469</t>
  </si>
  <si>
    <t>Tourist470</t>
  </si>
  <si>
    <t>Tourist471</t>
  </si>
  <si>
    <t>凤冠山景区</t>
  </si>
  <si>
    <t>Tourist472</t>
  </si>
  <si>
    <t>Tourist473</t>
  </si>
  <si>
    <t>Tourist474</t>
  </si>
  <si>
    <t>Tourist475</t>
  </si>
  <si>
    <t>Tourist476</t>
  </si>
  <si>
    <t>Tourist477</t>
  </si>
  <si>
    <t>Tourist478</t>
  </si>
  <si>
    <t>Tourist479</t>
  </si>
  <si>
    <t>Tourist480</t>
  </si>
  <si>
    <t>Tourist481</t>
  </si>
  <si>
    <t>Tourist482</t>
  </si>
  <si>
    <t>Tourist483</t>
  </si>
  <si>
    <t>Tourist484</t>
  </si>
  <si>
    <t>秦始皇帝陵博物院</t>
  </si>
  <si>
    <t>Tourist485</t>
  </si>
  <si>
    <t>Tourist486</t>
  </si>
  <si>
    <t>Tourist487</t>
  </si>
  <si>
    <t>Tourist488</t>
  </si>
  <si>
    <t>Tourist489</t>
  </si>
  <si>
    <t>Tourist490</t>
  </si>
  <si>
    <t>Tourist491</t>
  </si>
  <si>
    <t>西安城墙景区</t>
  </si>
  <si>
    <t>Tourist492</t>
  </si>
  <si>
    <t>Tourist493</t>
  </si>
  <si>
    <t>眉县张载祠</t>
  </si>
  <si>
    <t>Tourist494</t>
  </si>
  <si>
    <t>Tourist495</t>
  </si>
  <si>
    <t>Tourist496</t>
  </si>
  <si>
    <t>Tourist497</t>
  </si>
  <si>
    <t>Tourist498</t>
  </si>
  <si>
    <t>Tourist499</t>
  </si>
  <si>
    <t>Tourist500</t>
  </si>
  <si>
    <t>Tourist501</t>
  </si>
  <si>
    <t>Tourist502</t>
  </si>
  <si>
    <t>Tourist503</t>
  </si>
  <si>
    <t>杨凌现代农业示范园区创新园</t>
  </si>
  <si>
    <t>Tourist504</t>
  </si>
  <si>
    <t>云盖寺古镇</t>
  </si>
  <si>
    <t>Tourist505</t>
  </si>
  <si>
    <t>Tourist506</t>
  </si>
  <si>
    <t>Tourist507</t>
  </si>
  <si>
    <t>Tourist508</t>
  </si>
  <si>
    <t>Tourist509</t>
  </si>
  <si>
    <t>Tourist510</t>
  </si>
  <si>
    <t>Tourist511</t>
  </si>
  <si>
    <t>Tourist512</t>
  </si>
  <si>
    <t>Tourist513</t>
  </si>
  <si>
    <t>西安汤峪旅游度假区</t>
  </si>
  <si>
    <t>Tourist514</t>
  </si>
  <si>
    <t>Tourist515</t>
  </si>
  <si>
    <t>Tourist516</t>
  </si>
  <si>
    <t>Tourist517</t>
  </si>
  <si>
    <t>Tourist518</t>
  </si>
  <si>
    <t>Tourist519</t>
  </si>
  <si>
    <t>Tourist520</t>
  </si>
  <si>
    <t>Tourist521</t>
  </si>
  <si>
    <t>Tourist522</t>
  </si>
  <si>
    <t>神木二郎山旅游景区</t>
  </si>
  <si>
    <t>Tourist523</t>
  </si>
  <si>
    <t>Tourist524</t>
  </si>
  <si>
    <t>西虢水上乐园</t>
  </si>
  <si>
    <t>Tourist525</t>
  </si>
  <si>
    <t>Tourist526</t>
  </si>
  <si>
    <t>Tourist527</t>
  </si>
  <si>
    <t>Tourist528</t>
  </si>
  <si>
    <t>Tourist529</t>
  </si>
  <si>
    <t>Tourist530</t>
  </si>
  <si>
    <t>Tourist531</t>
  </si>
  <si>
    <t>Tourist532</t>
  </si>
  <si>
    <t>Tourist533</t>
  </si>
  <si>
    <t>Tourist534</t>
  </si>
  <si>
    <t>Tourist535</t>
  </si>
  <si>
    <t>Tourist536</t>
  </si>
  <si>
    <t>Tourist537</t>
  </si>
  <si>
    <t>Tourist538</t>
  </si>
  <si>
    <t>Tourist539</t>
  </si>
  <si>
    <t>Tourist540</t>
  </si>
  <si>
    <t>Tourist541</t>
  </si>
  <si>
    <t>Tourist542</t>
  </si>
  <si>
    <t>Tourist543</t>
  </si>
  <si>
    <t>Tourist544</t>
  </si>
  <si>
    <t>岚皋县岚河漂流</t>
  </si>
  <si>
    <t>Tourist545</t>
  </si>
  <si>
    <t>Tourist546</t>
  </si>
  <si>
    <t>Tourist547</t>
  </si>
  <si>
    <t>Tourist548</t>
  </si>
  <si>
    <t>Tourist549</t>
  </si>
  <si>
    <t>Tourist550</t>
  </si>
  <si>
    <t>Tourist551</t>
  </si>
  <si>
    <t>Tourist552</t>
  </si>
  <si>
    <t>Tourist553</t>
  </si>
  <si>
    <t>Tourist554</t>
  </si>
  <si>
    <t>Tourist555</t>
  </si>
  <si>
    <t>Tourist556</t>
  </si>
  <si>
    <t>Tourist557</t>
  </si>
  <si>
    <t>Tourist558</t>
  </si>
  <si>
    <t>Tourist559</t>
  </si>
  <si>
    <t>Tourist560</t>
  </si>
  <si>
    <t>Tourist561</t>
  </si>
  <si>
    <t>Tourist562</t>
  </si>
  <si>
    <t>Tourist563</t>
  </si>
  <si>
    <t>Tourist564</t>
  </si>
  <si>
    <t>Tourist565</t>
  </si>
  <si>
    <t>Tourist566</t>
  </si>
  <si>
    <t>Tourist567</t>
  </si>
  <si>
    <t>Tourist568</t>
  </si>
  <si>
    <t>Tourist569</t>
  </si>
  <si>
    <t>Tourist570</t>
  </si>
  <si>
    <t>西安贾平凹文化艺术馆</t>
  </si>
  <si>
    <t>Tourist571</t>
  </si>
  <si>
    <t>Tourist572</t>
  </si>
  <si>
    <t>Tourist573</t>
  </si>
  <si>
    <t>Tourist574</t>
  </si>
  <si>
    <t>Tourist575</t>
  </si>
  <si>
    <t>Tourist576</t>
  </si>
  <si>
    <t>Tourist577</t>
  </si>
  <si>
    <t>Tourist578</t>
  </si>
  <si>
    <t>Tourist579</t>
  </si>
  <si>
    <t>Tourist580</t>
  </si>
  <si>
    <t>Tourist581</t>
  </si>
  <si>
    <t>Tourist582</t>
  </si>
  <si>
    <t>Tourist583</t>
  </si>
  <si>
    <t>Tourist584</t>
  </si>
  <si>
    <t>Tourist585</t>
  </si>
  <si>
    <t>Tourist586</t>
  </si>
  <si>
    <t>Tourist587</t>
  </si>
  <si>
    <t>Tourist588</t>
  </si>
  <si>
    <t>Tourist589</t>
  </si>
  <si>
    <t>Tourist590</t>
  </si>
  <si>
    <t>Tourist591</t>
  </si>
  <si>
    <t>张良庙--紫柏山风景区</t>
  </si>
  <si>
    <t>Tourist592</t>
  </si>
  <si>
    <t>Tourist593</t>
  </si>
  <si>
    <t>白河县桥儿沟文化旅游街区</t>
  </si>
  <si>
    <t>Tourist594</t>
  </si>
  <si>
    <t>Tourist595</t>
  </si>
  <si>
    <t>郑国渠旅游景区</t>
  </si>
  <si>
    <t>Tourist596</t>
  </si>
  <si>
    <t>Tourist597</t>
  </si>
  <si>
    <t>Tourist598</t>
  </si>
  <si>
    <t>Tourist599</t>
  </si>
  <si>
    <t>Tourist600</t>
  </si>
  <si>
    <t>Tourist601</t>
  </si>
  <si>
    <t>Tourist602</t>
  </si>
  <si>
    <t>Tourist603</t>
  </si>
  <si>
    <t>Tourist604</t>
  </si>
  <si>
    <t>Tourist605</t>
  </si>
  <si>
    <t>Tourist606</t>
  </si>
  <si>
    <t>Tourist607</t>
  </si>
  <si>
    <t>Tourist608</t>
  </si>
  <si>
    <t>Tourist609</t>
  </si>
  <si>
    <t>Tourist610</t>
  </si>
  <si>
    <t>Tourist611</t>
  </si>
  <si>
    <t>Tourist612</t>
  </si>
  <si>
    <t>Tourist613</t>
  </si>
  <si>
    <t>Tourist614</t>
  </si>
  <si>
    <t>Tourist615</t>
  </si>
  <si>
    <t>Tourist616</t>
  </si>
  <si>
    <t>Tourist617</t>
  </si>
  <si>
    <t>Tourist618</t>
  </si>
  <si>
    <t>Tourist619</t>
  </si>
  <si>
    <t>咸阳博物馆</t>
  </si>
  <si>
    <t>Tourist620</t>
  </si>
  <si>
    <t>Tourist621</t>
  </si>
  <si>
    <t>Tourist622</t>
  </si>
  <si>
    <t>Tourist623</t>
  </si>
  <si>
    <t>Tourist624</t>
  </si>
  <si>
    <t>Tourist625</t>
  </si>
  <si>
    <t>Tourist626</t>
  </si>
  <si>
    <t>Tourist627</t>
  </si>
  <si>
    <t>Tourist628</t>
  </si>
  <si>
    <t>Tourist629</t>
  </si>
  <si>
    <t>Tourist630</t>
  </si>
  <si>
    <t>Tourist631</t>
  </si>
  <si>
    <t>Tourist632</t>
  </si>
  <si>
    <t>Tourist633</t>
  </si>
  <si>
    <t>平利县长安女娲茶镇旅游景区</t>
  </si>
  <si>
    <t>Tourist634</t>
  </si>
  <si>
    <t>Tourist635</t>
  </si>
  <si>
    <t>Tourist636</t>
  </si>
  <si>
    <t>Tourist637</t>
  </si>
  <si>
    <t>Tourist638</t>
  </si>
  <si>
    <t>Tourist639</t>
  </si>
  <si>
    <t>Tourist640</t>
  </si>
  <si>
    <t>Tourist641</t>
  </si>
  <si>
    <t>Tourist642</t>
  </si>
  <si>
    <t>双龙生态旅游景区</t>
  </si>
  <si>
    <t>Tourist643</t>
  </si>
  <si>
    <t>神木县陕北民俗文化大观园</t>
  </si>
  <si>
    <t>Tourist644</t>
  </si>
  <si>
    <t>Tourist645</t>
  </si>
  <si>
    <t>Tourist646</t>
  </si>
  <si>
    <t>Tourist647</t>
  </si>
  <si>
    <t>Tourist648</t>
  </si>
  <si>
    <t>Tourist649</t>
  </si>
  <si>
    <t>Tourist650</t>
  </si>
  <si>
    <t>Tourist651</t>
  </si>
  <si>
    <t>定边县塞上森林小镇</t>
  </si>
  <si>
    <t>Tourist652</t>
  </si>
  <si>
    <t>Tourist653</t>
  </si>
  <si>
    <t>Tourist654</t>
  </si>
  <si>
    <t>Tourist655</t>
  </si>
  <si>
    <t>Tourist656</t>
  </si>
  <si>
    <t>Tourist657</t>
  </si>
  <si>
    <t>Tourist658</t>
  </si>
  <si>
    <t>Tourist659</t>
  </si>
  <si>
    <t>Tourist660</t>
  </si>
  <si>
    <t>Tourist661</t>
  </si>
  <si>
    <t>Tourist662</t>
  </si>
  <si>
    <t>Tourist663</t>
  </si>
  <si>
    <t>Tourist664</t>
  </si>
  <si>
    <t>Tourist665</t>
  </si>
  <si>
    <t>Tourist666</t>
  </si>
  <si>
    <t>Tourist667</t>
  </si>
  <si>
    <t>Tourist668</t>
  </si>
  <si>
    <t>Tourist669</t>
  </si>
  <si>
    <t>Tourist670</t>
  </si>
  <si>
    <t>Tourist671</t>
  </si>
  <si>
    <t>Tourist672</t>
  </si>
  <si>
    <t>Tourist673</t>
  </si>
  <si>
    <t>Tourist674</t>
  </si>
  <si>
    <t>Tourist675</t>
  </si>
  <si>
    <t>Tourist676</t>
  </si>
  <si>
    <t>蓝田猿人遗址</t>
  </si>
  <si>
    <t>Tourist677</t>
  </si>
  <si>
    <t>Tourist678</t>
  </si>
  <si>
    <t>Tourist679</t>
  </si>
  <si>
    <t>Tourist680</t>
  </si>
  <si>
    <t>Tourist681</t>
  </si>
  <si>
    <t>Tourist682</t>
  </si>
  <si>
    <t>Tourist683</t>
  </si>
  <si>
    <t>Tourist684</t>
  </si>
  <si>
    <t>Tourist685</t>
  </si>
  <si>
    <t>Tourist686</t>
  </si>
  <si>
    <t>Tourist687</t>
  </si>
  <si>
    <t>Tourist688</t>
  </si>
  <si>
    <t>Tourist689</t>
  </si>
  <si>
    <t>Tourist690</t>
  </si>
  <si>
    <t>Tourist691</t>
  </si>
  <si>
    <t>Tourist692</t>
  </si>
  <si>
    <t>Tourist693</t>
  </si>
  <si>
    <t>Tourist694</t>
  </si>
  <si>
    <t>Tourist695</t>
  </si>
  <si>
    <t>Tourist696</t>
  </si>
  <si>
    <t>Tourist697</t>
  </si>
  <si>
    <t>Tourist698</t>
  </si>
  <si>
    <t>Tourist699</t>
  </si>
  <si>
    <t>Tourist700</t>
  </si>
  <si>
    <t>Tourist701</t>
  </si>
  <si>
    <t>Tourist702</t>
  </si>
  <si>
    <t>Tourist703</t>
  </si>
  <si>
    <t>Tourist704</t>
  </si>
  <si>
    <t>Tourist705</t>
  </si>
  <si>
    <t>Tourist706</t>
  </si>
  <si>
    <t>Tourist707</t>
  </si>
  <si>
    <t>Tourist708</t>
  </si>
  <si>
    <t>Tourist709</t>
  </si>
  <si>
    <t>Tourist710</t>
  </si>
  <si>
    <t>Tourist711</t>
  </si>
  <si>
    <t>Tourist712</t>
  </si>
  <si>
    <t>Tourist713</t>
  </si>
  <si>
    <t>Tourist714</t>
  </si>
  <si>
    <t>数据验证</t>
  </si>
  <si>
    <t>列表</t>
  </si>
  <si>
    <t>日期</t>
  </si>
  <si>
    <t>文本长度</t>
  </si>
  <si>
    <t>Hello, AutOffice</t>
  </si>
  <si>
    <t>客服部</t>
  </si>
  <si>
    <t>God</t>
  </si>
  <si>
    <t>销售部</t>
  </si>
  <si>
    <t>Word</t>
  </si>
  <si>
    <t>行政</t>
  </si>
  <si>
    <t>Warning</t>
  </si>
  <si>
    <t>市场部</t>
  </si>
  <si>
    <t>Boy</t>
  </si>
  <si>
    <t>条件格式</t>
  </si>
  <si>
    <t>单元格值（2~4)</t>
  </si>
  <si>
    <t>文本包含（est）</t>
  </si>
  <si>
    <t>唯一值</t>
  </si>
  <si>
    <t>重复值</t>
  </si>
  <si>
    <t>发生日期（下个月）</t>
  </si>
  <si>
    <t>test</t>
  </si>
  <si>
    <t>bad</t>
  </si>
  <si>
    <t>good</t>
  </si>
  <si>
    <t>testing</t>
  </si>
  <si>
    <t>tested</t>
  </si>
  <si>
    <t>general</t>
  </si>
  <si>
    <t>数据条：渐变填充</t>
  </si>
  <si>
    <t>色阶</t>
  </si>
  <si>
    <t>图标集</t>
  </si>
  <si>
    <t>与 Excel 兼容的图表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</si>
  <si>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</si>
  <si>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</si>
  <si>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</si>
  <si>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</si>
  <si>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</si>
  <si>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</si>
  <si>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</si>
  <si>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合计</t>
  </si>
  <si>
    <t>公交</t>
  </si>
  <si>
    <t>网约车</t>
  </si>
  <si>
    <t>出租车</t>
  </si>
  <si>
    <t>地铁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</si>
</sst>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  <numFmt numFmtId="177" formatCode="\¥#,##0.00"/>
    <numFmt numFmtId="178" formatCode="_ \¥* #,##0.00_ ;_ \¥* \-#,##0.00_ ;_ \¥* &quot;-&quot;??_ ;_ @_ "/>
    <numFmt numFmtId="179" formatCode="[$-F800]dddd\,\ mmmm\ dd\,\ yyyy"/>
    <numFmt numFmtId="180" formatCode="0.00000000000000_ "/>
    <numFmt numFmtId="181" formatCode="yyyy/m/d;@"/>
    <numFmt numFmtId="182" formatCode="0.00_ "/>
    <numFmt numFmtId="183" formatCode="#&quot;°&quot;##&quot;′&quot;##&quot;″&quot;"/>
    <numFmt numFmtId="184" formatCode="yyyy&quot;年&quot;m&quot;月&quot;d&quot;日&quot;;@"/>
    <numFmt numFmtId="185" formatCode="0.000_ "/>
  </numFmts>
  <fonts count="72">
    <font>
      <sz val="11.05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0"/>
      <color rgb="FF333333"/>
      <name val="微软雅黑"/>
      <charset val="134"/>
    </font>
    <font>
      <sz val="10"/>
      <color rgb="FF333333"/>
      <name val="微软雅黑"/>
      <charset val="134"/>
    </font>
    <font>
      <sz val="10"/>
      <color theme="1"/>
      <name val="微软雅黑"/>
      <charset val="134"/>
    </font>
    <font>
      <b/>
      <u/>
      <sz val="11"/>
      <color theme="10"/>
      <name val="宋体"/>
      <charset val="134"/>
      <scheme val="minor"/>
    </font>
    <font>
      <b/>
      <u/>
      <sz val="11.05"/>
      <color theme="4"/>
      <name val="宋体"/>
      <charset val="134"/>
      <scheme val="minor"/>
    </font>
    <font>
      <b/>
      <u/>
      <sz val="11.05"/>
      <color theme="10"/>
      <name val="宋体"/>
      <charset val="134"/>
      <scheme val="minor"/>
    </font>
    <font>
      <sz val="11.05"/>
      <color theme="4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1"/>
      <color rgb="FF333333"/>
      <name val="Calibri"/>
      <charset val="134"/>
    </font>
    <font>
      <sz val="10"/>
      <color theme="1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b/>
      <sz val="12"/>
      <color theme="0"/>
      <name val="微软雅黑"/>
      <charset val="134"/>
    </font>
    <font>
      <sz val="10"/>
      <color theme="0" tint="-0.15"/>
      <name val="微软雅黑"/>
      <charset val="134"/>
    </font>
    <font>
      <sz val="11.05"/>
      <color rgb="FF333333"/>
      <name val="Calibri"/>
      <charset val="134"/>
    </font>
    <font>
      <sz val="10"/>
      <color rgb="FF000000"/>
      <name val="微软雅黑"/>
      <charset val="134"/>
    </font>
    <font>
      <sz val="11.05"/>
      <color rgb="FF000000"/>
      <name val="Calibri"/>
      <charset val="134"/>
    </font>
    <font>
      <b/>
      <sz val="11.05"/>
      <color rgb="FFFFFFFF"/>
      <name val="微软雅黑"/>
      <charset val="134"/>
    </font>
    <font>
      <sz val="11.05"/>
      <color rgb="FF000000"/>
      <name val="微软雅黑"/>
      <charset val="134"/>
    </font>
    <font>
      <sz val="9"/>
      <color rgb="FF000000"/>
      <name val="Open Sans"/>
      <charset val="134"/>
    </font>
    <font>
      <sz val="11.05"/>
      <color rgb="FF000000"/>
      <name val="楷体"/>
      <charset val="134"/>
    </font>
    <font>
      <sz val="16"/>
      <color rgb="FF000000"/>
      <name val="Open Sans"/>
      <charset val="134"/>
    </font>
    <font>
      <sz val="10"/>
      <color rgb="FF000000"/>
      <name val="Open Sans"/>
      <charset val="134"/>
    </font>
    <font>
      <b/>
      <sz val="11.05"/>
      <color rgb="FF000000"/>
      <name val="Open Sans"/>
      <charset val="134"/>
    </font>
    <font>
      <i/>
      <sz val="11.05"/>
      <color rgb="FF000000"/>
      <name val="Open Sans"/>
      <charset val="134"/>
    </font>
    <font>
      <u/>
      <sz val="11.05"/>
      <color rgb="FF000000"/>
      <name val="Calibri"/>
      <charset val="134"/>
    </font>
    <font>
      <sz val="11.05"/>
      <color rgb="FF000000"/>
      <name val="Open Sans"/>
      <charset val="134"/>
    </font>
    <font>
      <b/>
      <sz val="11.05"/>
      <color rgb="FF7030A0"/>
      <name val="Calibri"/>
      <charset val="134"/>
    </font>
    <font>
      <b/>
      <sz val="11.05"/>
      <color theme="9"/>
      <name val="Calibri"/>
      <charset val="134"/>
    </font>
    <font>
      <sz val="10"/>
      <color rgb="FFC3C3C3"/>
      <name val="Calibri"/>
      <charset val="134"/>
    </font>
    <font>
      <b/>
      <sz val="10"/>
      <color rgb="FFFA7D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0"/>
      <color rgb="FF404040"/>
      <name val="微软雅黑"/>
      <charset val="134"/>
    </font>
    <font>
      <b/>
      <sz val="11.05"/>
      <color theme="4"/>
      <name val="宋体"/>
      <charset val="134"/>
      <scheme val="minor"/>
    </font>
    <font>
      <sz val="11.05"/>
      <color theme="1"/>
      <name val="微软雅黑"/>
      <charset val="134"/>
    </font>
    <font>
      <b/>
      <sz val="18"/>
      <color theme="5"/>
      <name val="楷体"/>
      <charset val="134"/>
    </font>
    <font>
      <b/>
      <sz val="24"/>
      <color theme="1" tint="0.25"/>
      <name val="微软雅黑"/>
      <charset val="134"/>
    </font>
    <font>
      <b/>
      <sz val="12"/>
      <color theme="1" tint="0.25"/>
      <name val="微软雅黑"/>
      <charset val="134"/>
    </font>
    <font>
      <b/>
      <sz val="12"/>
      <color rgb="FF9E2A78"/>
      <name val="微软雅黑"/>
      <charset val="134"/>
    </font>
    <font>
      <sz val="18"/>
      <color theme="3"/>
      <name val="Calibri Light"/>
      <charset val="134"/>
    </font>
    <font>
      <u/>
      <sz val="10"/>
      <color rgb="FF0066CC"/>
      <name val="Calibri"/>
      <charset val="134"/>
    </font>
    <font>
      <u/>
      <sz val="10"/>
      <color theme="10"/>
      <name val="Calibri"/>
      <charset val="134"/>
    </font>
    <font>
      <sz val="18"/>
      <color theme="3"/>
      <name val="宋体"/>
      <charset val="134"/>
      <scheme val="major"/>
    </font>
    <font>
      <u/>
      <sz val="10"/>
      <color theme="4"/>
      <name val="Calibri"/>
      <charset val="134"/>
    </font>
    <font>
      <u/>
      <sz val="10"/>
      <color rgb="FF0563C1"/>
      <name val="Calibri"/>
      <charset val="134"/>
    </font>
    <font>
      <sz val="11"/>
      <color theme="1"/>
      <name val="宋体"/>
      <charset val="134"/>
      <scheme val="minor"/>
    </font>
    <font>
      <u/>
      <sz val="10"/>
      <color rgb="FF00000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303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.05"/>
      <color rgb="FFFA7D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.05"/>
      <color rgb="FFFA7D00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u/>
      <sz val="11"/>
      <color theme="10"/>
      <name val="Calibri"/>
      <charset val="134"/>
    </font>
  </fonts>
  <fills count="53">
    <fill>
      <patternFill patternType="none"/>
    </fill>
    <fill>
      <patternFill patternType="gray125"/>
    </fill>
    <fill>
      <patternFill patternType="solid">
        <fgColor rgb="FF8A17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71F81"/>
        <bgColor indexed="64"/>
      </patternFill>
    </fill>
    <fill>
      <patternFill patternType="gray0625"/>
    </fill>
    <fill>
      <patternFill patternType="darkTrellis"/>
    </fill>
    <fill>
      <patternFill patternType="solid">
        <fgColor rgb="FF82BC00"/>
        <bgColor indexed="64"/>
      </patternFill>
    </fill>
    <fill>
      <patternFill patternType="lightGrid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theme="0" tint="-0.35"/>
      </left>
      <right style="thin">
        <color rgb="FFA5A5A5"/>
      </right>
      <top style="thin">
        <color theme="0" tint="-0.3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theme="0" tint="-0.35"/>
      </top>
      <bottom style="thin">
        <color rgb="FFA5A5A5"/>
      </bottom>
      <diagonal/>
    </border>
    <border>
      <left style="thin">
        <color theme="0" tint="-0.3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theme="0" tint="-0.35"/>
      </left>
      <right style="thin">
        <color rgb="FFA5A5A5"/>
      </right>
      <top style="thin">
        <color rgb="FFA5A5A5"/>
      </top>
      <bottom style="thin">
        <color theme="0" tint="-0.3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theme="0" tint="-0.35"/>
      </bottom>
      <diagonal/>
    </border>
    <border>
      <left style="thin">
        <color rgb="FFA5A5A5"/>
      </left>
      <right style="thin">
        <color theme="0" tint="-0.35"/>
      </right>
      <top style="thin">
        <color theme="0" tint="-0.35"/>
      </top>
      <bottom style="thin">
        <color rgb="FFA5A5A5"/>
      </bottom>
      <diagonal/>
    </border>
    <border>
      <left style="thin">
        <color rgb="FFA5A5A5"/>
      </left>
      <right style="thin">
        <color theme="0" tint="-0.3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theme="0" tint="-0.35"/>
      </right>
      <top style="thin">
        <color rgb="FFA5A5A5"/>
      </top>
      <bottom style="thin">
        <color theme="0" tint="-0.35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theme="9" tint="0.2"/>
      </left>
      <right/>
      <top style="thin">
        <color theme="9" tint="0.2"/>
      </top>
      <bottom style="thin">
        <color theme="9" tint="0.2"/>
      </bottom>
      <diagonal/>
    </border>
    <border>
      <left/>
      <right/>
      <top style="thin">
        <color theme="9" tint="0.2"/>
      </top>
      <bottom style="thin">
        <color theme="9" tint="0.2"/>
      </bottom>
      <diagonal/>
    </border>
    <border>
      <left/>
      <right style="thin">
        <color theme="9" tint="0.2"/>
      </right>
      <top style="thin">
        <color theme="9" tint="0.2"/>
      </top>
      <bottom style="thin">
        <color theme="9" tint="0.2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dashed">
        <color rgb="FF0000FF"/>
      </left>
      <right style="dashed">
        <color rgb="FF0000FF"/>
      </right>
      <top style="dashed">
        <color rgb="FF0000FF"/>
      </top>
      <bottom style="dashed">
        <color rgb="FF0000FF"/>
      </bottom>
      <diagonal/>
    </border>
    <border>
      <left style="thick">
        <color rgb="FF90EE90"/>
      </left>
      <right/>
      <top style="thick">
        <color rgb="FF90EE90"/>
      </top>
      <bottom style="thick">
        <color rgb="FF90EE90"/>
      </bottom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9ACD32"/>
      </left>
      <right/>
      <top style="double">
        <color rgb="FF9ACD32"/>
      </top>
      <bottom/>
      <diagonal/>
    </border>
    <border>
      <left/>
      <right style="double">
        <color rgb="FF9ACD32"/>
      </right>
      <top style="double">
        <color rgb="FF9ACD32"/>
      </top>
      <bottom/>
      <diagonal/>
    </border>
    <border>
      <left style="double">
        <color rgb="FF9ACD32"/>
      </left>
      <right/>
      <top/>
      <bottom style="double">
        <color rgb="FF9ACD32"/>
      </bottom>
      <diagonal/>
    </border>
    <border>
      <left/>
      <right style="double">
        <color rgb="FF9ACD32"/>
      </right>
      <top/>
      <bottom style="double">
        <color rgb="FF9ACD32"/>
      </bottom>
      <diagonal/>
    </border>
    <border>
      <left/>
      <right style="thick">
        <color rgb="FF90EE90"/>
      </right>
      <top style="thick">
        <color rgb="FF90EE90"/>
      </top>
      <bottom style="thick">
        <color rgb="FF90EE90"/>
      </bottom>
      <diagonal/>
    </border>
    <border>
      <left style="thick">
        <color rgb="FFCDCD00"/>
      </left>
      <right style="thick">
        <color rgb="FFCDCD00"/>
      </right>
      <top style="thick">
        <color rgb="FFCDCD00"/>
      </top>
      <bottom/>
      <diagonal/>
    </border>
    <border>
      <left style="thick">
        <color rgb="FFCDCD00"/>
      </left>
      <right style="thick">
        <color rgb="FFCDCD00"/>
      </right>
      <top/>
      <bottom/>
      <diagonal/>
    </border>
    <border>
      <left style="thick">
        <color rgb="FFCDCD00"/>
      </left>
      <right style="thick">
        <color rgb="FFCDCD00"/>
      </right>
      <top/>
      <bottom style="thick">
        <color rgb="FFCDCD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mediumDashed">
        <color rgb="FF000000"/>
      </right>
      <top/>
      <bottom style="mediumDashed">
        <color rgb="FF000000"/>
      </bottom>
      <diagonal/>
    </border>
    <border>
      <left style="mediumDashed">
        <color rgb="FF000000"/>
      </left>
      <right/>
      <top/>
      <bottom style="mediumDashed">
        <color rgb="FF000000"/>
      </bottom>
      <diagonal/>
    </border>
    <border>
      <left/>
      <right style="mediumDashed">
        <color rgb="FF000000"/>
      </right>
      <top style="mediumDashed">
        <color rgb="FF000000"/>
      </top>
      <bottom/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51" fillId="0" borderId="0" applyFont="0" applyFill="0" applyBorder="0" applyAlignment="0" applyProtection="0">
      <alignment vertical="center"/>
    </xf>
    <xf numFmtId="44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0" fontId="52" fillId="0" borderId="0">
      <alignment vertical="top"/>
    </xf>
    <xf numFmtId="0" fontId="53" fillId="0" borderId="0" applyNumberFormat="0" applyFill="0" applyBorder="0" applyAlignment="0" applyProtection="0">
      <alignment vertical="center"/>
    </xf>
    <xf numFmtId="0" fontId="51" fillId="22" borderId="39" applyNumberFormat="0" applyFont="0" applyAlignment="0" applyProtection="0">
      <alignment vertical="center"/>
    </xf>
    <xf numFmtId="0" fontId="54" fillId="0" borderId="0"/>
    <xf numFmtId="0" fontId="48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40" applyNumberFormat="0" applyFill="0" applyAlignment="0" applyProtection="0">
      <alignment vertical="center"/>
    </xf>
    <xf numFmtId="0" fontId="57" fillId="0" borderId="40" applyNumberFormat="0" applyFill="0" applyAlignment="0" applyProtection="0">
      <alignment vertical="center"/>
    </xf>
    <xf numFmtId="0" fontId="58" fillId="0" borderId="41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3" borderId="37" applyNumberFormat="0" applyAlignment="0" applyProtection="0">
      <alignment vertical="center"/>
    </xf>
    <xf numFmtId="0" fontId="60" fillId="24" borderId="42" applyNumberFormat="0" applyAlignment="0" applyProtection="0">
      <alignment vertical="center"/>
    </xf>
    <xf numFmtId="0" fontId="61" fillId="20" borderId="37" applyNumberFormat="0" applyAlignment="0" applyProtection="0"/>
    <xf numFmtId="0" fontId="62" fillId="25" borderId="43" applyNumberFormat="0" applyAlignment="0" applyProtection="0">
      <alignment vertical="center"/>
    </xf>
    <xf numFmtId="0" fontId="63" fillId="0" borderId="11" applyNumberFormat="0" applyFill="0" applyAlignment="0" applyProtection="0"/>
    <xf numFmtId="0" fontId="64" fillId="0" borderId="44" applyNumberFormat="0" applyFill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7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1" fillId="0" borderId="0"/>
  </cellStyleXfs>
  <cellXfs count="1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1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4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vertical="top"/>
    </xf>
    <xf numFmtId="0" fontId="6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7" fillId="0" borderId="0" xfId="6" applyFont="1" applyAlignment="1">
      <alignment horizontal="left" vertical="center"/>
    </xf>
    <xf numFmtId="0" fontId="7" fillId="0" borderId="10" xfId="6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11" xfId="56" applyFont="1" applyBorder="1" applyAlignment="1">
      <alignment horizontal="left" vertical="center"/>
    </xf>
    <xf numFmtId="0" fontId="9" fillId="0" borderId="10" xfId="56" applyFont="1" applyBorder="1" applyAlignment="1">
      <alignment horizontal="left" vertical="center"/>
    </xf>
    <xf numFmtId="0" fontId="1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vertical="top"/>
    </xf>
    <xf numFmtId="176" fontId="0" fillId="0" borderId="0" xfId="0" applyNumberFormat="1">
      <alignment vertical="center"/>
    </xf>
    <xf numFmtId="0" fontId="7" fillId="0" borderId="0" xfId="6" applyFont="1" applyBorder="1" applyAlignment="1">
      <alignment horizontal="left" vertical="center"/>
    </xf>
    <xf numFmtId="0" fontId="7" fillId="0" borderId="0" xfId="6" applyFont="1" applyBorder="1" applyAlignment="1">
      <alignment horizontal="left" vertical="center"/>
    </xf>
    <xf numFmtId="0" fontId="7" fillId="0" borderId="10" xfId="6" applyFont="1" applyBorder="1" applyAlignment="1">
      <alignment horizontal="left" vertical="center"/>
    </xf>
    <xf numFmtId="0" fontId="7" fillId="0" borderId="10" xfId="6" applyFont="1" applyBorder="1" applyAlignment="1">
      <alignment horizontal="left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15" fillId="3" borderId="12" xfId="0" applyFont="1" applyFill="1" applyBorder="1" applyAlignment="1"/>
    <xf numFmtId="0" fontId="15" fillId="3" borderId="13" xfId="0" applyFont="1" applyFill="1" applyBorder="1" applyAlignment="1"/>
    <xf numFmtId="0" fontId="16" fillId="4" borderId="12" xfId="0" applyFont="1" applyFill="1" applyBorder="1" applyAlignment="1"/>
    <xf numFmtId="0" fontId="16" fillId="4" borderId="13" xfId="0" applyFont="1" applyFill="1" applyBorder="1" applyAlignment="1"/>
    <xf numFmtId="0" fontId="16" fillId="0" borderId="12" xfId="0" applyFont="1" applyBorder="1" applyAlignment="1"/>
    <xf numFmtId="0" fontId="16" fillId="0" borderId="13" xfId="0" applyFont="1" applyBorder="1" applyAlignment="1"/>
    <xf numFmtId="0" fontId="15" fillId="3" borderId="14" xfId="0" applyFont="1" applyFill="1" applyBorder="1" applyAlignment="1"/>
    <xf numFmtId="14" fontId="16" fillId="4" borderId="14" xfId="0" applyNumberFormat="1" applyFont="1" applyFill="1" applyBorder="1" applyAlignment="1"/>
    <xf numFmtId="14" fontId="16" fillId="0" borderId="14" xfId="0" applyNumberFormat="1" applyFont="1" applyBorder="1" applyAlignment="1"/>
    <xf numFmtId="0" fontId="9" fillId="0" borderId="0" xfId="6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8" fillId="5" borderId="0" xfId="0" applyFont="1" applyFill="1">
      <alignment vertical="center"/>
    </xf>
    <xf numFmtId="0" fontId="17" fillId="2" borderId="0" xfId="10" applyFont="1" applyFill="1" applyAlignment="1">
      <alignment horizontal="center" vertical="center"/>
    </xf>
    <xf numFmtId="0" fontId="19" fillId="0" borderId="0" xfId="0" applyFont="1" applyAlignment="1">
      <alignment vertical="top" wrapText="1"/>
    </xf>
    <xf numFmtId="0" fontId="19" fillId="0" borderId="15" xfId="0" applyFont="1" applyBorder="1" applyAlignment="1">
      <alignment vertical="top" wrapText="1"/>
    </xf>
    <xf numFmtId="0" fontId="19" fillId="0" borderId="16" xfId="0" applyFont="1" applyBorder="1" applyAlignment="1">
      <alignment vertical="top" wrapText="1"/>
    </xf>
    <xf numFmtId="0" fontId="19" fillId="0" borderId="17" xfId="0" applyFont="1" applyBorder="1" applyAlignment="1">
      <alignment vertical="top" wrapText="1"/>
    </xf>
    <xf numFmtId="0" fontId="17" fillId="2" borderId="0" xfId="10" applyFont="1" applyFill="1" applyAlignment="1">
      <alignment horizontal="center" vertical="center" textRotation="255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vertical="top" wrapText="1"/>
    </xf>
    <xf numFmtId="14" fontId="20" fillId="0" borderId="0" xfId="0" applyNumberFormat="1" applyFont="1" applyAlignment="1">
      <alignment vertical="top" wrapText="1"/>
    </xf>
    <xf numFmtId="0" fontId="6" fillId="6" borderId="0" xfId="0" applyFont="1" applyFill="1">
      <alignment vertical="center"/>
    </xf>
    <xf numFmtId="0" fontId="6" fillId="7" borderId="0" xfId="0" applyFont="1" applyFill="1">
      <alignment vertical="center"/>
    </xf>
    <xf numFmtId="0" fontId="6" fillId="8" borderId="0" xfId="0" applyFont="1" applyFill="1">
      <alignment vertical="center"/>
    </xf>
    <xf numFmtId="0" fontId="6" fillId="9" borderId="0" xfId="0" applyFont="1" applyFill="1">
      <alignment vertical="center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19" fillId="0" borderId="21" xfId="0" applyFont="1" applyBorder="1" applyAlignment="1">
      <alignment vertical="top" wrapText="1"/>
    </xf>
    <xf numFmtId="0" fontId="19" fillId="0" borderId="22" xfId="0" applyFont="1" applyBorder="1" applyAlignment="1">
      <alignment vertical="top" wrapText="1"/>
    </xf>
    <xf numFmtId="0" fontId="19" fillId="0" borderId="23" xfId="0" applyFont="1" applyBorder="1" applyAlignment="1">
      <alignment vertical="top" wrapText="1"/>
    </xf>
    <xf numFmtId="0" fontId="19" fillId="0" borderId="24" xfId="0" applyFont="1" applyBorder="1" applyAlignment="1">
      <alignment vertical="top" wrapText="1"/>
    </xf>
    <xf numFmtId="0" fontId="19" fillId="0" borderId="25" xfId="0" applyFont="1" applyBorder="1" applyAlignment="1">
      <alignment vertical="top" wrapText="1"/>
    </xf>
    <xf numFmtId="0" fontId="19" fillId="0" borderId="26" xfId="0" applyFont="1" applyBorder="1" applyAlignment="1">
      <alignment vertical="top" wrapText="1"/>
    </xf>
    <xf numFmtId="0" fontId="19" fillId="0" borderId="27" xfId="0" applyFont="1" applyBorder="1" applyAlignment="1">
      <alignment vertical="top" wrapText="1"/>
    </xf>
    <xf numFmtId="0" fontId="19" fillId="0" borderId="28" xfId="0" applyFont="1" applyBorder="1" applyAlignment="1">
      <alignment vertical="top" wrapText="1"/>
    </xf>
    <xf numFmtId="2" fontId="20" fillId="0" borderId="0" xfId="0" applyNumberFormat="1" applyFont="1" applyAlignment="1">
      <alignment vertical="top" wrapText="1"/>
    </xf>
    <xf numFmtId="2" fontId="21" fillId="0" borderId="0" xfId="0" applyNumberFormat="1" applyFont="1" applyAlignment="1">
      <alignment vertical="top" wrapText="1"/>
    </xf>
    <xf numFmtId="177" fontId="20" fillId="0" borderId="0" xfId="0" applyNumberFormat="1" applyFont="1" applyAlignment="1">
      <alignment vertical="top" wrapText="1"/>
    </xf>
    <xf numFmtId="0" fontId="21" fillId="0" borderId="0" xfId="0" applyFont="1" applyAlignment="1">
      <alignment vertical="top" wrapText="1"/>
    </xf>
    <xf numFmtId="178" fontId="20" fillId="0" borderId="0" xfId="0" applyNumberFormat="1" applyFont="1" applyAlignment="1">
      <alignment vertical="top" wrapText="1"/>
    </xf>
    <xf numFmtId="179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vertical="top" wrapText="1"/>
    </xf>
    <xf numFmtId="11" fontId="6" fillId="0" borderId="0" xfId="0" applyNumberFormat="1" applyFont="1">
      <alignment vertical="center"/>
    </xf>
    <xf numFmtId="0" fontId="6" fillId="10" borderId="0" xfId="0" applyFont="1" applyFill="1">
      <alignment vertical="center"/>
    </xf>
    <xf numFmtId="0" fontId="6" fillId="11" borderId="0" xfId="0" applyFont="1" applyFill="1">
      <alignment vertical="center"/>
    </xf>
    <xf numFmtId="0" fontId="6" fillId="12" borderId="0" xfId="0" applyFont="1" applyFill="1">
      <alignment vertical="center"/>
    </xf>
    <xf numFmtId="0" fontId="19" fillId="0" borderId="29" xfId="0" applyFont="1" applyBorder="1" applyAlignment="1">
      <alignment vertical="top" wrapText="1"/>
    </xf>
    <xf numFmtId="0" fontId="19" fillId="0" borderId="30" xfId="0" applyFont="1" applyBorder="1" applyAlignment="1">
      <alignment vertical="top" wrapText="1"/>
    </xf>
    <xf numFmtId="0" fontId="19" fillId="0" borderId="31" xfId="0" applyFont="1" applyBorder="1" applyAlignment="1">
      <alignment vertical="top" wrapText="1"/>
    </xf>
    <xf numFmtId="0" fontId="19" fillId="0" borderId="32" xfId="0" applyFont="1" applyBorder="1" applyAlignment="1">
      <alignment vertical="top" wrapText="1"/>
    </xf>
    <xf numFmtId="0" fontId="19" fillId="0" borderId="33" xfId="0" applyFont="1" applyBorder="1" applyAlignment="1">
      <alignment vertical="top" wrapText="1"/>
    </xf>
    <xf numFmtId="0" fontId="19" fillId="0" borderId="34" xfId="0" applyFont="1" applyBorder="1" applyAlignment="1">
      <alignment vertical="top" wrapText="1"/>
    </xf>
    <xf numFmtId="0" fontId="19" fillId="0" borderId="35" xfId="0" applyFont="1" applyBorder="1" applyAlignment="1">
      <alignment vertical="top" wrapText="1"/>
    </xf>
    <xf numFmtId="0" fontId="6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10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7" fillId="2" borderId="0" xfId="10" applyFont="1" applyFill="1" applyAlignment="1">
      <alignment horizontal="center" vertical="center" textRotation="255" wrapText="1"/>
    </xf>
    <xf numFmtId="0" fontId="22" fillId="15" borderId="0" xfId="0" applyFont="1" applyFill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14" fillId="0" borderId="0" xfId="0" applyFont="1" applyAlignment="1">
      <alignment horizontal="center" vertical="center"/>
    </xf>
    <xf numFmtId="0" fontId="27" fillId="0" borderId="0" xfId="0" applyFont="1" applyAlignment="1">
      <alignment vertical="top" wrapText="1"/>
    </xf>
    <xf numFmtId="0" fontId="16" fillId="0" borderId="0" xfId="5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6" fillId="16" borderId="0" xfId="0" applyFont="1" applyFill="1">
      <alignment vertical="center"/>
    </xf>
    <xf numFmtId="0" fontId="6" fillId="9" borderId="0" xfId="0" applyFont="1" applyFill="1" applyAlignment="1">
      <alignment horizontal="center" vertical="center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31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right" wrapText="1"/>
    </xf>
    <xf numFmtId="0" fontId="16" fillId="0" borderId="0" xfId="51" applyFont="1" applyAlignment="1">
      <alignment vertical="center" wrapText="1"/>
    </xf>
    <xf numFmtId="0" fontId="16" fillId="0" borderId="0" xfId="52" applyFont="1" applyAlignment="1">
      <alignment vertical="center" wrapText="1"/>
    </xf>
    <xf numFmtId="0" fontId="32" fillId="0" borderId="0" xfId="0" applyFont="1" applyAlignment="1">
      <alignment vertical="top" wrapText="1"/>
    </xf>
    <xf numFmtId="0" fontId="33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 indent="1"/>
    </xf>
    <xf numFmtId="0" fontId="21" fillId="0" borderId="0" xfId="0" applyFont="1" applyAlignment="1">
      <alignment vertical="center" shrinkToFit="1"/>
    </xf>
    <xf numFmtId="0" fontId="34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16" fillId="0" borderId="0" xfId="53" applyFont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2" fillId="17" borderId="36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180" fontId="35" fillId="18" borderId="37" xfId="0" applyNumberFormat="1" applyFont="1" applyFill="1" applyBorder="1" applyAlignment="1">
      <alignment horizontal="center" vertical="center"/>
    </xf>
    <xf numFmtId="0" fontId="35" fillId="18" borderId="37" xfId="0" applyFont="1" applyFill="1" applyBorder="1" applyAlignment="1">
      <alignment horizontal="center" vertical="center"/>
    </xf>
    <xf numFmtId="14" fontId="35" fillId="18" borderId="37" xfId="0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/>
    </xf>
    <xf numFmtId="0" fontId="35" fillId="19" borderId="37" xfId="0" applyFont="1" applyFill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181" fontId="36" fillId="0" borderId="36" xfId="0" applyNumberFormat="1" applyFont="1" applyBorder="1" applyAlignment="1">
      <alignment horizontal="center" vertical="center"/>
    </xf>
    <xf numFmtId="0" fontId="37" fillId="17" borderId="36" xfId="0" applyFont="1" applyFill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0" fontId="35" fillId="20" borderId="37" xfId="0" applyFont="1" applyFill="1" applyBorder="1" applyAlignment="1">
      <alignment horizontal="center" vertical="center"/>
    </xf>
    <xf numFmtId="182" fontId="6" fillId="0" borderId="36" xfId="0" applyNumberFormat="1" applyFont="1" applyBorder="1" applyAlignment="1">
      <alignment horizontal="center" vertical="center"/>
    </xf>
    <xf numFmtId="182" fontId="35" fillId="20" borderId="37" xfId="0" applyNumberFormat="1" applyFont="1" applyFill="1" applyBorder="1" applyAlignment="1">
      <alignment horizontal="center" vertical="center"/>
    </xf>
    <xf numFmtId="183" fontId="6" fillId="0" borderId="36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/>
    </xf>
    <xf numFmtId="0" fontId="38" fillId="21" borderId="38" xfId="0" applyFont="1" applyFill="1" applyBorder="1" applyAlignment="1">
      <alignment horizontal="center" vertical="center" wrapText="1"/>
    </xf>
    <xf numFmtId="9" fontId="6" fillId="0" borderId="36" xfId="0" applyNumberFormat="1" applyFont="1" applyBorder="1" applyAlignment="1">
      <alignment horizontal="center" vertical="center"/>
    </xf>
    <xf numFmtId="184" fontId="6" fillId="0" borderId="36" xfId="0" applyNumberFormat="1" applyFont="1" applyBorder="1" applyAlignment="1">
      <alignment horizontal="center" vertical="center"/>
    </xf>
    <xf numFmtId="0" fontId="6" fillId="0" borderId="36" xfId="0" applyFont="1" applyBorder="1">
      <alignment vertical="center"/>
    </xf>
    <xf numFmtId="14" fontId="6" fillId="0" borderId="36" xfId="0" applyNumberFormat="1" applyFont="1" applyBorder="1" applyAlignment="1">
      <alignment horizontal="center" vertical="center"/>
    </xf>
    <xf numFmtId="0" fontId="35" fillId="20" borderId="37" xfId="0" applyFont="1" applyFill="1" applyBorder="1" applyAlignment="1">
      <alignment horizontal="left" vertical="center"/>
    </xf>
    <xf numFmtId="185" fontId="35" fillId="20" borderId="37" xfId="0" applyNumberFormat="1" applyFont="1" applyFill="1" applyBorder="1" applyAlignment="1">
      <alignment horizontal="center" vertical="center" shrinkToFit="1"/>
    </xf>
    <xf numFmtId="185" fontId="20" fillId="0" borderId="36" xfId="0" applyNumberFormat="1" applyFont="1" applyBorder="1" applyAlignment="1">
      <alignment horizontal="center" vertical="center" shrinkToFit="1"/>
    </xf>
    <xf numFmtId="0" fontId="39" fillId="0" borderId="11" xfId="20" applyFont="1" applyAlignment="1">
      <alignment horizontal="left" vertical="center"/>
    </xf>
    <xf numFmtId="0" fontId="39" fillId="0" borderId="10" xfId="20" applyFont="1" applyBorder="1" applyAlignment="1">
      <alignment horizontal="left" vertical="center"/>
    </xf>
    <xf numFmtId="0" fontId="40" fillId="0" borderId="0" xfId="0" applyFont="1">
      <alignment vertical="center"/>
    </xf>
    <xf numFmtId="0" fontId="41" fillId="20" borderId="37" xfId="56" applyFont="1" applyFill="1" applyBorder="1" applyAlignment="1">
      <alignment horizontal="center" vertical="center"/>
    </xf>
    <xf numFmtId="0" fontId="41" fillId="20" borderId="37" xfId="56" applyFont="1" applyFill="1" applyBorder="1" applyAlignme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17" borderId="0" xfId="0" applyFont="1" applyFill="1">
      <alignment vertical="center"/>
    </xf>
    <xf numFmtId="0" fontId="40" fillId="17" borderId="0" xfId="0" applyFont="1" applyFill="1">
      <alignment vertical="center"/>
    </xf>
    <xf numFmtId="0" fontId="6" fillId="17" borderId="0" xfId="0" applyFont="1" applyFill="1" applyAlignment="1">
      <alignment horizontal="left" vertical="top" wrapText="1"/>
    </xf>
    <xf numFmtId="0" fontId="45" fillId="0" borderId="0" xfId="10" applyAlignment="1">
      <alignment vertical="center"/>
    </xf>
    <xf numFmtId="0" fontId="6" fillId="0" borderId="0" xfId="0" applyFont="1" applyAlignment="1">
      <alignment horizontal="left" vertical="center" wrapText="1"/>
    </xf>
    <xf numFmtId="0" fontId="46" fillId="17" borderId="0" xfId="0" applyFont="1" applyFill="1" applyAlignment="1">
      <alignment horizontal="center" vertical="center"/>
    </xf>
    <xf numFmtId="0" fontId="47" fillId="17" borderId="0" xfId="0" applyFont="1" applyFill="1" applyAlignment="1">
      <alignment horizontal="center" vertical="center"/>
    </xf>
    <xf numFmtId="0" fontId="48" fillId="0" borderId="0" xfId="10" applyAlignment="1">
      <alignment vertical="center"/>
    </xf>
    <xf numFmtId="0" fontId="49" fillId="0" borderId="0" xfId="6" applyFont="1" applyAlignment="1">
      <alignment horizontal="center" vertical="center"/>
    </xf>
    <xf numFmtId="0" fontId="44" fillId="20" borderId="0" xfId="0" applyFont="1" applyFill="1">
      <alignment vertical="center"/>
    </xf>
    <xf numFmtId="0" fontId="40" fillId="20" borderId="0" xfId="0" applyFont="1" applyFill="1">
      <alignment vertical="center"/>
    </xf>
    <xf numFmtId="0" fontId="6" fillId="20" borderId="0" xfId="0" applyFont="1" applyFill="1" applyAlignment="1">
      <alignment horizontal="left" vertical="top" wrapText="1"/>
    </xf>
    <xf numFmtId="0" fontId="50" fillId="20" borderId="0" xfId="0" applyFont="1" applyFill="1" applyAlignment="1">
      <alignment horizontal="center" vertical="center"/>
    </xf>
    <xf numFmtId="0" fontId="47" fillId="20" borderId="0" xfId="0" applyFont="1" applyFill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colorPicker-cellbutton" xfId="50"/>
    <cellStyle name="datetimepicker-cellbutton" xfId="51"/>
    <cellStyle name="timepicker-cellbutton" xfId="52"/>
    <cellStyle name="calculator-cellbutton" xfId="53"/>
    <cellStyle name="okcancel-cellbutton" xfId="54"/>
    <cellStyle name="clear-cellbutton" xfId="55"/>
    <cellStyle name="Hyperlink" xfId="56"/>
  </cellStyles>
  <dxfs count="31"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name val="Calibri"/>
        <scheme val="none"/>
        <sz val="10"/>
      </font>
    </dxf>
    <dxf>
      <font>
        <color rgb="FF006400"/>
      </font>
      <fill>
        <patternFill patternType="solid">
          <fgColor rgb="FF90EE90"/>
          <bgColor rgb="FF90EE90"/>
        </patternFill>
      </fill>
    </dxf>
    <dxf>
      <font>
        <color rgb="FF8B0000"/>
      </font>
      <fill>
        <patternFill patternType="solid">
          <fgColor rgb="FFFFB6C1"/>
          <bgColor rgb="FFFFB6C1"/>
        </patternFill>
      </fill>
    </dxf>
    <dxf>
      <font>
        <color rgb="FFBDB76B"/>
      </font>
      <fill>
        <patternFill patternType="solid">
          <fgColor rgb="FFF0E68C"/>
          <bgColor rgb="FFF0E68C"/>
        </patternFill>
      </fill>
    </dxf>
    <dxf>
      <border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color rgb="FF8B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  <a:r>
              <a:rPr sz="1000" b="0">
                <a:solidFill>
                  <a:srgbClr val="FFFFFF"/>
                </a:solidFill>
                <a:latin typeface="Calibri"/>
              </a:rPr>
              <a:t>柱形图</a:t>
            </a:r>
            <a:endParaRPr sz="1000" b="0">
              <a:solidFill>
                <a:srgbClr val="FFFFFF"/>
              </a:solidFill>
              <a:latin typeface="Calibri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'与 Excel 兼容的图表'!$B$3</c:f>
              <c:strCache>
                <c:ptCount val="1"/>
                <c:pt idx="0">
                  <c:v>公交</c:v>
                </c:pt>
              </c:strCache>
            </c:strRef>
          </c:tx>
          <c:spPr>
            <a:solidFill>
              <a:schemeClr val="accent1"/>
            </a:solidFill>
            <a:ln w="0"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兼容的图表'!$C$3:$I$3</c:f>
              <c:numCache>
                <c:formatCode>General</c:formatCode>
                <c:ptCount val="7"/>
                <c:pt idx="0">
                  <c:v>320</c:v>
                </c:pt>
                <c:pt idx="1">
                  <c:v>302</c:v>
                </c:pt>
                <c:pt idx="2">
                  <c:v>301</c:v>
                </c:pt>
                <c:pt idx="3">
                  <c:v>334</c:v>
                </c:pt>
                <c:pt idx="4">
                  <c:v>390</c:v>
                </c:pt>
                <c:pt idx="5">
                  <c:v>330</c:v>
                </c:pt>
                <c:pt idx="6">
                  <c:v>320</c:v>
                </c:pt>
              </c:numCache>
            </c:numRef>
          </c:val>
        </c:ser>
        <c:ser>
          <c:idx val="1"/>
          <c:order val="1"/>
          <c:tx>
            <c:strRef>
              <c:f>'与 Excel 兼容的图表'!$B$4</c:f>
              <c:strCache>
                <c:ptCount val="1"/>
                <c:pt idx="0">
                  <c:v>网约车</c:v>
                </c:pt>
              </c:strCache>
            </c:strRef>
          </c:tx>
          <c:spPr>
            <a:solidFill>
              <a:schemeClr val="accent2"/>
            </a:solidFill>
            <a:ln w="0"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兼容的图表'!$C$4:$I$4</c:f>
              <c:numCache>
                <c:formatCode>General</c:formatCode>
                <c:ptCount val="7"/>
                <c:pt idx="0">
                  <c:v>120</c:v>
                </c:pt>
                <c:pt idx="1">
                  <c:v>132</c:v>
                </c:pt>
                <c:pt idx="2">
                  <c:v>101</c:v>
                </c:pt>
                <c:pt idx="3">
                  <c:v>134</c:v>
                </c:pt>
                <c:pt idx="4">
                  <c:v>90</c:v>
                </c:pt>
                <c:pt idx="5">
                  <c:v>230</c:v>
                </c:pt>
                <c:pt idx="6">
                  <c:v>210</c:v>
                </c:pt>
              </c:numCache>
            </c:numRef>
          </c:val>
        </c:ser>
        <c:ser>
          <c:idx val="2"/>
          <c:order val="2"/>
          <c:tx>
            <c:strRef>
              <c:f>'与 Excel 兼容的图表'!$B$5</c:f>
              <c:strCache>
                <c:ptCount val="1"/>
                <c:pt idx="0">
                  <c:v>出租车</c:v>
                </c:pt>
              </c:strCache>
            </c:strRef>
          </c:tx>
          <c:spPr>
            <a:solidFill>
              <a:schemeClr val="accent3"/>
            </a:solidFill>
            <a:ln w="0"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兼容的图表'!$C$5:$I$5</c:f>
              <c:numCache>
                <c:formatCode>General</c:formatCode>
                <c:ptCount val="7"/>
                <c:pt idx="0">
                  <c:v>220</c:v>
                </c:pt>
                <c:pt idx="1">
                  <c:v>182</c:v>
                </c:pt>
                <c:pt idx="2">
                  <c:v>191</c:v>
                </c:pt>
                <c:pt idx="3">
                  <c:v>234</c:v>
                </c:pt>
                <c:pt idx="4">
                  <c:v>290</c:v>
                </c:pt>
                <c:pt idx="5">
                  <c:v>330</c:v>
                </c:pt>
                <c:pt idx="6">
                  <c:v>310</c:v>
                </c:pt>
              </c:numCache>
            </c:numRef>
          </c:val>
        </c:ser>
        <c:ser>
          <c:idx val="3"/>
          <c:order val="3"/>
          <c:tx>
            <c:strRef>
              <c:f>'与 Excel 兼容的图表'!$B$6</c:f>
              <c:strCache>
                <c:ptCount val="1"/>
                <c:pt idx="0">
                  <c:v>地铁</c:v>
                </c:pt>
              </c:strCache>
            </c:strRef>
          </c:tx>
          <c:spPr>
            <a:solidFill>
              <a:schemeClr val="accent4"/>
            </a:solidFill>
            <a:ln w="0"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兼容的图表'!$C$6:$I$6</c:f>
              <c:numCache>
                <c:formatCode>General</c:formatCode>
                <c:ptCount val="7"/>
                <c:pt idx="0">
                  <c:v>820</c:v>
                </c:pt>
                <c:pt idx="1">
                  <c:v>832</c:v>
                </c:pt>
                <c:pt idx="2">
                  <c:v>901</c:v>
                </c:pt>
                <c:pt idx="3">
                  <c:v>934</c:v>
                </c:pt>
                <c:pt idx="4">
                  <c:v>1290</c:v>
                </c:pt>
                <c:pt idx="5">
                  <c:v>1330</c:v>
                </c:pt>
                <c:pt idx="6">
                  <c:v>1320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43206802"/>
        <c:axId val="33234909"/>
      </c:barChart>
      <c:catAx>
        <c:axId val="432068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</a:p>
        </c:txPr>
        <c:crossAx val="33234909"/>
        <c:crosses val="autoZero"/>
        <c:auto val="1"/>
        <c:lblAlgn val="ctr"/>
        <c:lblOffset val="0"/>
        <c:noMultiLvlLbl val="1"/>
      </c:catAx>
      <c:valAx>
        <c:axId val="332349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</a:p>
        </c:txPr>
        <c:crossAx val="43206802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FFFFFF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743205-7677-480a-95f1-4e424c7a6335}"/>
      </c:ext>
    </c:extLst>
  </c:chart>
  <c:spPr>
    <a:solidFill>
      <a:srgbClr val="5D5D5D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sz="1000" b="0">
          <a:solidFill>
            <a:srgbClr val="FFFFFF"/>
          </a:solidFill>
          <a:latin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+mn-ea"/>
                <a:cs typeface="+mn-cs"/>
              </a:defRPr>
            </a:pPr>
            <a:r>
              <a: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折线图</a:t>
            </a:r>
            <a:endParaRPr sz="100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'与 Excel 兼容的图表'!$B$3</c:f>
              <c:strCache>
                <c:ptCount val="1"/>
                <c:pt idx="0">
                  <c:v>公交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兼容的图表'!$C$3:$I$3</c:f>
              <c:numCache>
                <c:formatCode>General</c:formatCode>
                <c:ptCount val="7"/>
                <c:pt idx="0">
                  <c:v>320</c:v>
                </c:pt>
                <c:pt idx="1">
                  <c:v>302</c:v>
                </c:pt>
                <c:pt idx="2">
                  <c:v>301</c:v>
                </c:pt>
                <c:pt idx="3">
                  <c:v>334</c:v>
                </c:pt>
                <c:pt idx="4">
                  <c:v>390</c:v>
                </c:pt>
                <c:pt idx="5">
                  <c:v>330</c:v>
                </c:pt>
                <c:pt idx="6">
                  <c:v>320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'与 Excel 兼容的图表'!$B$4</c:f>
              <c:strCache>
                <c:ptCount val="1"/>
                <c:pt idx="0">
                  <c:v>网约车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兼容的图表'!$C$4:$I$4</c:f>
              <c:numCache>
                <c:formatCode>General</c:formatCode>
                <c:ptCount val="7"/>
                <c:pt idx="0">
                  <c:v>120</c:v>
                </c:pt>
                <c:pt idx="1">
                  <c:v>132</c:v>
                </c:pt>
                <c:pt idx="2">
                  <c:v>101</c:v>
                </c:pt>
                <c:pt idx="3">
                  <c:v>134</c:v>
                </c:pt>
                <c:pt idx="4">
                  <c:v>90</c:v>
                </c:pt>
                <c:pt idx="5">
                  <c:v>230</c:v>
                </c:pt>
                <c:pt idx="6">
                  <c:v>210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'与 Excel 兼容的图表'!$B$5</c:f>
              <c:strCache>
                <c:ptCount val="1"/>
                <c:pt idx="0">
                  <c:v>出租车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兼容的图表'!$C$5:$I$5</c:f>
              <c:numCache>
                <c:formatCode>General</c:formatCode>
                <c:ptCount val="7"/>
                <c:pt idx="0">
                  <c:v>220</c:v>
                </c:pt>
                <c:pt idx="1">
                  <c:v>182</c:v>
                </c:pt>
                <c:pt idx="2">
                  <c:v>191</c:v>
                </c:pt>
                <c:pt idx="3">
                  <c:v>234</c:v>
                </c:pt>
                <c:pt idx="4">
                  <c:v>290</c:v>
                </c:pt>
                <c:pt idx="5">
                  <c:v>330</c:v>
                </c:pt>
                <c:pt idx="6">
                  <c:v>310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'与 Excel 兼容的图表'!$B$6</c:f>
              <c:strCache>
                <c:ptCount val="1"/>
                <c:pt idx="0">
                  <c:v>地铁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兼容的图表'!$C$6:$I$6</c:f>
              <c:numCache>
                <c:formatCode>General</c:formatCode>
                <c:ptCount val="7"/>
                <c:pt idx="0">
                  <c:v>820</c:v>
                </c:pt>
                <c:pt idx="1">
                  <c:v>832</c:v>
                </c:pt>
                <c:pt idx="2">
                  <c:v>901</c:v>
                </c:pt>
                <c:pt idx="3">
                  <c:v>934</c:v>
                </c:pt>
                <c:pt idx="4">
                  <c:v>1290</c:v>
                </c:pt>
                <c:pt idx="5">
                  <c:v>1330</c:v>
                </c:pt>
                <c:pt idx="6">
                  <c:v>1320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8884346"/>
        <c:axId val="26451581"/>
      </c:lineChart>
      <c:catAx>
        <c:axId val="988843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26451581"/>
        <c:crosses val="autoZero"/>
        <c:auto val="1"/>
        <c:lblAlgn val="ctr"/>
        <c:lblOffset val="0"/>
        <c:noMultiLvlLbl val="1"/>
      </c:catAx>
      <c:valAx>
        <c:axId val="2645158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0"/>
                  </a:srgbClr>
                </a:solidFill>
                <a:latin typeface="Calibri"/>
                <a:ea typeface="+mn-ea"/>
                <a:cs typeface="+mn-cs"/>
              </a:defRPr>
            </a:pPr>
          </a:p>
        </c:txPr>
        <c:crossAx val="98884346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595959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c84cef-b328-4fdf-a36a-69a3c9b9cd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sz="1000" b="0">
          <a:solidFill>
            <a:schemeClr val="tx1">
              <a:lumMod val="65000"/>
              <a:lumOff val="35000"/>
            </a:schemeClr>
          </a:solidFill>
          <a:latin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+mn-ea"/>
                <a:cs typeface="+mn-cs"/>
              </a:defRPr>
            </a:pPr>
            <a:r>
              <a: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组合图</a:t>
            </a:r>
            <a:endParaRPr sz="100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'与 Excel 兼容的图表'!$B$3</c:f>
              <c:strCache>
                <c:ptCount val="1"/>
                <c:pt idx="0">
                  <c:v>公交</c:v>
                </c:pt>
              </c:strCache>
            </c:strRef>
          </c:tx>
          <c:spPr>
            <a:solidFill>
              <a:schemeClr val="accent1"/>
            </a:solidFill>
            <a:ln w="0">
              <a:noFill/>
              <a:prstDash val="solid"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兼容的图表'!$C$3:$I$3</c:f>
              <c:numCache>
                <c:formatCode>General</c:formatCode>
                <c:ptCount val="7"/>
                <c:pt idx="0">
                  <c:v>320</c:v>
                </c:pt>
                <c:pt idx="1">
                  <c:v>302</c:v>
                </c:pt>
                <c:pt idx="2">
                  <c:v>301</c:v>
                </c:pt>
                <c:pt idx="3">
                  <c:v>334</c:v>
                </c:pt>
                <c:pt idx="4">
                  <c:v>390</c:v>
                </c:pt>
                <c:pt idx="5">
                  <c:v>330</c:v>
                </c:pt>
                <c:pt idx="6">
                  <c:v>320</c:v>
                </c:pt>
              </c:numCache>
            </c:numRef>
          </c:val>
        </c:ser>
        <c:ser>
          <c:idx val="1"/>
          <c:order val="1"/>
          <c:tx>
            <c:strRef>
              <c:f>'与 Excel 兼容的图表'!$B$4</c:f>
              <c:strCache>
                <c:ptCount val="1"/>
                <c:pt idx="0">
                  <c:v>网约车</c:v>
                </c:pt>
              </c:strCache>
            </c:strRef>
          </c:tx>
          <c:spPr>
            <a:solidFill>
              <a:schemeClr val="accent2"/>
            </a:solidFill>
            <a:ln w="0">
              <a:noFill/>
              <a:prstDash val="solid"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兼容的图表'!$C$4:$I$4</c:f>
              <c:numCache>
                <c:formatCode>General</c:formatCode>
                <c:ptCount val="7"/>
                <c:pt idx="0">
                  <c:v>120</c:v>
                </c:pt>
                <c:pt idx="1">
                  <c:v>132</c:v>
                </c:pt>
                <c:pt idx="2">
                  <c:v>101</c:v>
                </c:pt>
                <c:pt idx="3">
                  <c:v>134</c:v>
                </c:pt>
                <c:pt idx="4">
                  <c:v>90</c:v>
                </c:pt>
                <c:pt idx="5">
                  <c:v>230</c:v>
                </c:pt>
                <c:pt idx="6">
                  <c:v>210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0460065"/>
        <c:axId val="89604788"/>
      </c:barChart>
      <c:lineChart>
        <c:grouping val="standard"/>
        <c:varyColors val="0"/>
        <c:ser>
          <c:idx val="2"/>
          <c:order val="2"/>
          <c:tx>
            <c:strRef>
              <c:f>'与 Excel 兼容的图表'!$B$5</c:f>
              <c:strCache>
                <c:ptCount val="1"/>
                <c:pt idx="0">
                  <c:v>出租车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兼容的图表'!$C$5:$I$5</c:f>
              <c:numCache>
                <c:formatCode>General</c:formatCode>
                <c:ptCount val="7"/>
                <c:pt idx="0">
                  <c:v>220</c:v>
                </c:pt>
                <c:pt idx="1">
                  <c:v>182</c:v>
                </c:pt>
                <c:pt idx="2">
                  <c:v>191</c:v>
                </c:pt>
                <c:pt idx="3">
                  <c:v>234</c:v>
                </c:pt>
                <c:pt idx="4">
                  <c:v>290</c:v>
                </c:pt>
                <c:pt idx="5">
                  <c:v>330</c:v>
                </c:pt>
                <c:pt idx="6">
                  <c:v>310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'与 Excel 兼容的图表'!$B$6</c:f>
              <c:strCache>
                <c:ptCount val="1"/>
                <c:pt idx="0">
                  <c:v>地铁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595959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兼容的图表'!$C$6:$I$6</c:f>
              <c:numCache>
                <c:formatCode>General</c:formatCode>
                <c:ptCount val="7"/>
                <c:pt idx="0">
                  <c:v>820</c:v>
                </c:pt>
                <c:pt idx="1">
                  <c:v>832</c:v>
                </c:pt>
                <c:pt idx="2">
                  <c:v>901</c:v>
                </c:pt>
                <c:pt idx="3">
                  <c:v>934</c:v>
                </c:pt>
                <c:pt idx="4">
                  <c:v>1290</c:v>
                </c:pt>
                <c:pt idx="5">
                  <c:v>1330</c:v>
                </c:pt>
                <c:pt idx="6">
                  <c:v>1320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11088"/>
        <c:axId val="19180814"/>
      </c:lineChart>
      <c:catAx>
        <c:axId val="604600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89604788"/>
        <c:crosses val="autoZero"/>
        <c:auto val="1"/>
        <c:lblAlgn val="ctr"/>
        <c:lblOffset val="0"/>
        <c:noMultiLvlLbl val="1"/>
      </c:catAx>
      <c:valAx>
        <c:axId val="896047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0"/>
                  </a:srgbClr>
                </a:solidFill>
                <a:latin typeface="Calibri"/>
                <a:ea typeface="+mn-ea"/>
                <a:cs typeface="+mn-cs"/>
              </a:defRPr>
            </a:pPr>
          </a:p>
        </c:txPr>
        <c:crossAx val="60460065"/>
        <c:crosses val="autoZero"/>
        <c:crossBetween val="between"/>
      </c:valAx>
      <c:catAx>
        <c:axId val="3211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+mn-ea"/>
                <a:cs typeface="+mn-cs"/>
              </a:defRPr>
            </a:pPr>
          </a:p>
        </c:txPr>
        <c:crossAx val="19180814"/>
        <c:crosses val="autoZero"/>
        <c:auto val="1"/>
        <c:lblAlgn val="ctr"/>
        <c:lblOffset val="0"/>
        <c:noMultiLvlLbl val="1"/>
      </c:catAx>
      <c:valAx>
        <c:axId val="1918081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+mn-ea"/>
                <a:cs typeface="+mn-cs"/>
              </a:defRPr>
            </a:pPr>
          </a:p>
        </c:txPr>
        <c:crossAx val="32111088"/>
        <c:crosses val="max"/>
        <c:crossBetween val="between"/>
      </c:valAx>
      <c:spPr>
        <a:noFill/>
        <a:ln>
          <a:noFill/>
        </a:ln>
      </c:spPr>
    </c:plotArea>
    <c:legend>
      <c:legendPos val="t"/>
      <c:layout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595959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268b2d-5a3d-4c20-b7e8-fa0dd6ee65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sz="1000" b="0">
          <a:solidFill>
            <a:schemeClr val="tx1">
              <a:lumMod val="65000"/>
              <a:lumOff val="35000"/>
            </a:schemeClr>
          </a:solidFill>
          <a:latin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饼图</a:t>
            </a:r>
            <a:endPara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'与 Excel 兼容的图表'!$L$2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FFFFFF"/>
              </a:solidFill>
              <a:prstDash val="solid"/>
            </a:ln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Lbls>
            <c:delete val="1"/>
          </c:dLbls>
          <c:cat>
            <c:strRef>
              <c:f>'与 Excel 兼容的图表'!$K$3:$K$6</c:f>
              <c:strCache>
                <c:ptCount val="4"/>
                <c:pt idx="0">
                  <c:v>公交</c:v>
                </c:pt>
                <c:pt idx="1">
                  <c:v>网约车</c:v>
                </c:pt>
                <c:pt idx="2">
                  <c:v>出租车</c:v>
                </c:pt>
                <c:pt idx="3">
                  <c:v>地铁</c:v>
                </c:pt>
              </c:strCache>
            </c:strRef>
          </c:cat>
          <c:val>
            <c:numRef>
              <c:f>'与 Excel 兼容的图表'!$L$3:$L$6</c:f>
              <c:numCache>
                <c:formatCode>General</c:formatCode>
                <c:ptCount val="4"/>
                <c:pt idx="0">
                  <c:v>1977</c:v>
                </c:pt>
                <c:pt idx="1">
                  <c:v>807</c:v>
                </c:pt>
                <c:pt idx="2">
                  <c:v>1447</c:v>
                </c:pt>
                <c:pt idx="3">
                  <c:v>6107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1a4c11-27a3-4591-b750-dd55bfbfae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圆环图</a:t>
            </a:r>
            <a:endPara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'与 Excel 兼容的图表'!$L$2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FFFFFF"/>
              </a:solidFill>
              <a:prstDash val="solid"/>
            </a:ln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Lbls>
            <c:delete val="1"/>
          </c:dLbls>
          <c:cat>
            <c:strRef>
              <c:f>'与 Excel 兼容的图表'!$K$3:$K$6</c:f>
              <c:strCache>
                <c:ptCount val="4"/>
                <c:pt idx="0">
                  <c:v>公交</c:v>
                </c:pt>
                <c:pt idx="1">
                  <c:v>网约车</c:v>
                </c:pt>
                <c:pt idx="2">
                  <c:v>出租车</c:v>
                </c:pt>
                <c:pt idx="3">
                  <c:v>地铁</c:v>
                </c:pt>
              </c:strCache>
            </c:strRef>
          </c:cat>
          <c:val>
            <c:numRef>
              <c:f>'与 Excel 兼容的图表'!$L$3:$L$6</c:f>
              <c:numCache>
                <c:formatCode>General</c:formatCode>
                <c:ptCount val="4"/>
                <c:pt idx="0">
                  <c:v>1977</c:v>
                </c:pt>
                <c:pt idx="1">
                  <c:v>807</c:v>
                </c:pt>
                <c:pt idx="2">
                  <c:v>1447</c:v>
                </c:pt>
                <c:pt idx="3">
                  <c:v>6107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da9f97-eb22-4fb5-b8af-ea9f3cbb1c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  <a:r>
              <a:rPr sz="1000" b="0">
                <a:solidFill>
                  <a:srgbClr val="FFFFFF"/>
                </a:solidFill>
                <a:latin typeface="Calibri"/>
              </a:rPr>
              <a:t>雷达图</a:t>
            </a:r>
            <a:endParaRPr sz="1000" b="0">
              <a:solidFill>
                <a:srgbClr val="FFFFFF"/>
              </a:solidFill>
              <a:latin typeface="Calibri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'与 Excel 兼容的图表'!$B$3</c:f>
              <c:strCache>
                <c:ptCount val="1"/>
                <c:pt idx="0">
                  <c:v>公交</c:v>
                </c:pt>
              </c:strCache>
            </c:strRef>
          </c:tx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兼容的图表'!$C$3:$I$3</c:f>
              <c:numCache>
                <c:formatCode>General</c:formatCode>
                <c:ptCount val="7"/>
                <c:pt idx="0">
                  <c:v>320</c:v>
                </c:pt>
                <c:pt idx="1">
                  <c:v>302</c:v>
                </c:pt>
                <c:pt idx="2">
                  <c:v>301</c:v>
                </c:pt>
                <c:pt idx="3">
                  <c:v>334</c:v>
                </c:pt>
                <c:pt idx="4">
                  <c:v>390</c:v>
                </c:pt>
                <c:pt idx="5">
                  <c:v>330</c:v>
                </c:pt>
                <c:pt idx="6">
                  <c:v>320</c:v>
                </c:pt>
              </c:numCache>
            </c:numRef>
          </c:val>
        </c:ser>
        <c:ser>
          <c:idx val="1"/>
          <c:order val="1"/>
          <c:tx>
            <c:strRef>
              <c:f>'与 Excel 兼容的图表'!$B$4</c:f>
              <c:strCache>
                <c:ptCount val="1"/>
                <c:pt idx="0">
                  <c:v>网约车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兼容的图表'!$C$4:$I$4</c:f>
              <c:numCache>
                <c:formatCode>General</c:formatCode>
                <c:ptCount val="7"/>
                <c:pt idx="0">
                  <c:v>120</c:v>
                </c:pt>
                <c:pt idx="1">
                  <c:v>132</c:v>
                </c:pt>
                <c:pt idx="2">
                  <c:v>101</c:v>
                </c:pt>
                <c:pt idx="3">
                  <c:v>134</c:v>
                </c:pt>
                <c:pt idx="4">
                  <c:v>90</c:v>
                </c:pt>
                <c:pt idx="5">
                  <c:v>230</c:v>
                </c:pt>
                <c:pt idx="6">
                  <c:v>210</c:v>
                </c:pt>
              </c:numCache>
            </c:numRef>
          </c:val>
        </c:ser>
        <c:ser>
          <c:idx val="2"/>
          <c:order val="2"/>
          <c:tx>
            <c:strRef>
              <c:f>'与 Excel 兼容的图表'!$B$5</c:f>
              <c:strCache>
                <c:ptCount val="1"/>
                <c:pt idx="0">
                  <c:v>出租车</c:v>
                </c:pt>
              </c:strCache>
            </c:strRef>
          </c:tx>
          <c:spPr>
            <a:ln w="381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兼容的图表'!$C$5:$I$5</c:f>
              <c:numCache>
                <c:formatCode>General</c:formatCode>
                <c:ptCount val="7"/>
                <c:pt idx="0">
                  <c:v>220</c:v>
                </c:pt>
                <c:pt idx="1">
                  <c:v>182</c:v>
                </c:pt>
                <c:pt idx="2">
                  <c:v>191</c:v>
                </c:pt>
                <c:pt idx="3">
                  <c:v>234</c:v>
                </c:pt>
                <c:pt idx="4">
                  <c:v>290</c:v>
                </c:pt>
                <c:pt idx="5">
                  <c:v>330</c:v>
                </c:pt>
                <c:pt idx="6">
                  <c:v>310</c:v>
                </c:pt>
              </c:numCache>
            </c:numRef>
          </c:val>
        </c:ser>
        <c:ser>
          <c:idx val="3"/>
          <c:order val="3"/>
          <c:tx>
            <c:strRef>
              <c:f>'与 Excel 兼容的图表'!$B$6</c:f>
              <c:strCache>
                <c:ptCount val="1"/>
                <c:pt idx="0">
                  <c:v>地铁</c:v>
                </c:pt>
              </c:strCache>
            </c:strRef>
          </c:tx>
          <c:spPr>
            <a:ln w="3810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'与 Excel 兼容的图表'!$C$2:$I$2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'与 Excel 兼容的图表'!$C$6:$I$6</c:f>
              <c:numCache>
                <c:formatCode>General</c:formatCode>
                <c:ptCount val="7"/>
                <c:pt idx="0">
                  <c:v>820</c:v>
                </c:pt>
                <c:pt idx="1">
                  <c:v>832</c:v>
                </c:pt>
                <c:pt idx="2">
                  <c:v>901</c:v>
                </c:pt>
                <c:pt idx="3">
                  <c:v>934</c:v>
                </c:pt>
                <c:pt idx="4">
                  <c:v>1290</c:v>
                </c:pt>
                <c:pt idx="5">
                  <c:v>1330</c:v>
                </c:pt>
                <c:pt idx="6">
                  <c:v>1320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96354"/>
        <c:axId val="64889094"/>
      </c:radarChart>
      <c:catAx>
        <c:axId val="835963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</a:p>
        </c:txPr>
        <c:crossAx val="64889094"/>
        <c:crosses val="autoZero"/>
        <c:auto val="1"/>
        <c:lblAlgn val="ctr"/>
        <c:lblOffset val="0"/>
        <c:noMultiLvlLbl val="1"/>
      </c:catAx>
      <c:valAx>
        <c:axId val="64889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rgbClr val="000000">
                <a:alpha val="0"/>
              </a:srgb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Calibri"/>
                <a:ea typeface="+mn-ea"/>
                <a:cs typeface="+mn-cs"/>
              </a:defRPr>
            </a:pPr>
          </a:p>
        </c:txPr>
        <c:crossAx val="83596354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spPr>
        <a:solidFill>
          <a:srgbClr val="000000"/>
        </a:solidFill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FFFFFF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c64970-924a-4d66-9013-881df079e151}"/>
      </c:ext>
    </c:extLst>
  </c:chart>
  <c:spPr>
    <a:solidFill>
      <a:srgbClr val="5D5D5D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 sz="1000" b="0">
          <a:solidFill>
            <a:srgbClr val="FFFFFF"/>
          </a:solidFill>
          <a:latin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123825</xdr:colOff>
      <xdr:row>17</xdr:row>
      <xdr:rowOff>200025</xdr:rowOff>
    </xdr:from>
    <xdr:to>
      <xdr:col>2</xdr:col>
      <xdr:colOff>561975</xdr:colOff>
      <xdr:row>22</xdr:row>
      <xdr:rowOff>238125</xdr:rowOff>
    </xdr:to>
    <xdr:pic>
      <xdr:nvPicPr>
        <xdr:cNvPr id="6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23825" y="4657725"/>
          <a:ext cx="1287145" cy="129540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8</xdr:col>
      <xdr:colOff>314325</xdr:colOff>
      <xdr:row>17</xdr:row>
      <xdr:rowOff>152400</xdr:rowOff>
    </xdr:from>
    <xdr:to>
      <xdr:col>11</xdr:col>
      <xdr:colOff>38100</xdr:colOff>
      <xdr:row>23</xdr:row>
      <xdr:rowOff>85725</xdr:rowOff>
    </xdr:to>
    <xdr:pic>
      <xdr:nvPicPr>
        <xdr:cNvPr id="7" name="Picture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4561840" y="4610100"/>
          <a:ext cx="1423035" cy="143827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17</xdr:col>
      <xdr:colOff>333375</xdr:colOff>
      <xdr:row>17</xdr:row>
      <xdr:rowOff>200025</xdr:rowOff>
    </xdr:from>
    <xdr:to>
      <xdr:col>20</xdr:col>
      <xdr:colOff>0</xdr:colOff>
      <xdr:row>23</xdr:row>
      <xdr:rowOff>76200</xdr:rowOff>
    </xdr:to>
    <xdr:pic>
      <xdr:nvPicPr>
        <xdr:cNvPr id="8" name="Picture 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678670" y="4657725"/>
          <a:ext cx="1365885" cy="1381125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600075</xdr:colOff>
      <xdr:row>18</xdr:row>
      <xdr:rowOff>180975</xdr:rowOff>
    </xdr:to>
    <xdr:graphicFrame>
      <xdr:nvGraphicFramePr>
        <xdr:cNvPr id="2" name="Chart 1"/>
        <xdr:cNvGraphicFramePr/>
      </xdr:nvGraphicFramePr>
      <xdr:xfrm>
        <a:off x="603885" y="1428750"/>
        <a:ext cx="422656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600075</xdr:colOff>
      <xdr:row>18</xdr:row>
      <xdr:rowOff>180975</xdr:rowOff>
    </xdr:to>
    <xdr:graphicFrame>
      <xdr:nvGraphicFramePr>
        <xdr:cNvPr id="3" name="Chart 2"/>
        <xdr:cNvGraphicFramePr/>
      </xdr:nvGraphicFramePr>
      <xdr:xfrm>
        <a:off x="5358765" y="1428750"/>
        <a:ext cx="422656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</xdr:colOff>
      <xdr:row>6</xdr:row>
      <xdr:rowOff>180975</xdr:rowOff>
    </xdr:from>
    <xdr:to>
      <xdr:col>27</xdr:col>
      <xdr:colOff>0</xdr:colOff>
      <xdr:row>18</xdr:row>
      <xdr:rowOff>171450</xdr:rowOff>
    </xdr:to>
    <xdr:graphicFrame>
      <xdr:nvGraphicFramePr>
        <xdr:cNvPr id="4" name="Chart 3"/>
        <xdr:cNvGraphicFramePr/>
      </xdr:nvGraphicFramePr>
      <xdr:xfrm>
        <a:off x="10123170" y="1419225"/>
        <a:ext cx="4217035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21</xdr:row>
      <xdr:rowOff>9525</xdr:rowOff>
    </xdr:from>
    <xdr:to>
      <xdr:col>7</xdr:col>
      <xdr:colOff>457200</xdr:colOff>
      <xdr:row>31</xdr:row>
      <xdr:rowOff>180975</xdr:rowOff>
    </xdr:to>
    <xdr:graphicFrame>
      <xdr:nvGraphicFramePr>
        <xdr:cNvPr id="5" name="Chart 4"/>
        <xdr:cNvGraphicFramePr/>
      </xdr:nvGraphicFramePr>
      <xdr:xfrm>
        <a:off x="613410" y="4105275"/>
        <a:ext cx="3617595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16</xdr:col>
      <xdr:colOff>447675</xdr:colOff>
      <xdr:row>31</xdr:row>
      <xdr:rowOff>180975</xdr:rowOff>
    </xdr:to>
    <xdr:graphicFrame>
      <xdr:nvGraphicFramePr>
        <xdr:cNvPr id="6" name="Chart 5"/>
        <xdr:cNvGraphicFramePr/>
      </xdr:nvGraphicFramePr>
      <xdr:xfrm>
        <a:off x="5358765" y="4095750"/>
        <a:ext cx="361759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9525</xdr:colOff>
      <xdr:row>21</xdr:row>
      <xdr:rowOff>0</xdr:rowOff>
    </xdr:from>
    <xdr:to>
      <xdr:col>27</xdr:col>
      <xdr:colOff>0</xdr:colOff>
      <xdr:row>31</xdr:row>
      <xdr:rowOff>180975</xdr:rowOff>
    </xdr:to>
    <xdr:graphicFrame>
      <xdr:nvGraphicFramePr>
        <xdr:cNvPr id="7" name="Chart 6"/>
        <xdr:cNvGraphicFramePr/>
      </xdr:nvGraphicFramePr>
      <xdr:xfrm>
        <a:off x="10123170" y="4095750"/>
        <a:ext cx="421703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7" refreshedVersion="5" refreshedDate="46157.9291435185" refreshedBy="aldis" recordCount="1049">
  <cacheSource type="worksheet">
    <worksheetSource name="表_convertcsv"/>
  </cacheSource>
  <cacheFields count="14">
    <cacheField name="ID" numFmtId="0">
      <sharedItems containsSemiMixedTypes="0" containsString="0" containsNumber="1" containsInteger="1" minValue="1" maxValue="1049" count="1049"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</sharedItems>
    </cacheField>
    <cacheField name="tourist_attraction" numFmtId="0">
      <sharedItems count="351">
        <s v="红河谷森林公园"/>
        <s v="茂陵博物馆"/>
        <s v="武侯墓博物馆"/>
        <s v="侍郎湖景区"/>
        <s v="榆阳区补浪河女子民兵治沙连"/>
        <s v="洛川会议纪念馆"/>
        <s v="陕西华清宫文化旅游景区"/>
        <s v="韩城王峰景区"/>
        <s v="熊猫谷景区"/>
        <s v="灞渭车游湿地景区"/>
        <s v="安康博物馆"/>
        <s v="大荔畅家田园综合体景区"/>
        <s v="大荔县福佑古寨景区"/>
        <s v="黄龙山景区"/>
        <s v="炎帝影视基地"/>
        <s v="吴起铁边城古镇旅游景区"/>
        <s v="照金—香山景区"/>
        <s v="耀州窑博物馆"/>
        <s v="延安清凉山景区"/>
        <s v="通天河国家森林公园"/>
        <s v="童话磨石沟旅游度假村"/>
        <s v="西安关中民俗艺术博物院"/>
        <s v="蔡伦墓祠"/>
        <s v="木王山景区"/>
        <s v="鲸鱼沟竹海景区"/>
        <s v="药王故里景区"/>
        <s v="西部兰花园"/>
        <s v="泾阳龙泉公社"/>
        <s v="石门山国家森林公园"/>
        <s v="蒲城县王鼎纪念馆"/>
        <s v="西安碑林博物馆"/>
        <s v="西安广新园民族村"/>
        <s v="陕西张裕瑞那城堡酒庄"/>
        <s v="澄城县博物馆"/>
        <s v="横山区茅庐界景区"/>
        <s v="汉江石泉古城景区"/>
        <s v="天台国家森林公园"/>
        <s v="万盛园酱菜博物馆"/>
        <s v="西安大汉上林苑（杜陵）生态景区"/>
        <s v="关中风情园"/>
        <s v="陇县西武当风景区"/>
        <s v="仓颉庙景区"/>
        <s v="杨震廉政博物馆"/>
        <s v="拜将坛遗址景区"/>
        <s v="延安凤凰山革命旧址"/>
        <s v="大明宫国家遗址公园"/>
        <s v="西安金龙峡风景区"/>
        <s v="翠屏山景区"/>
        <s v="青峰峡森林公园"/>
        <s v="西安白鹿原葡萄主题公园"/>
        <s v="丰图义仓"/>
        <s v="韩城市博物馆"/>
        <s v="西安大秦温泉景区"/>
        <s v="唐惠陵景区"/>
        <s v="渭南桃花源景区"/>
        <s v="塔云山景区"/>
        <s v="陕西秦岭大坝沟景区"/>
        <s v="灵宝峡景区"/>
        <s v="萧何曹参遗址公园"/>
        <s v="蟒头山国家森林公园"/>
        <s v="延安宝塔山景区"/>
        <s v="澄城县城隍庙神楼"/>
        <s v="神农现代农业园区"/>
        <s v="黄河国际赛道公园"/>
        <s v="西安流峪飞峡生态旅游区"/>
        <s v="石门栈道景风区"/>
        <s v="炎帝陵景区"/>
        <s v="咸阳金源山庄"/>
        <s v="林皋慢城旅游景区"/>
        <s v="钓鱼台风景名胜区"/>
        <s v="渭南老街"/>
        <s v="延安万花山风景区"/>
        <s v="商州蟒岭绿道景区"/>
        <s v="青木川古镇景区"/>
        <s v="韩城庆善寺"/>
        <s v="洽川景区"/>
        <s v="富县太和山景区"/>
        <s v="古汉台景区"/>
        <s v="佳县神泉堡革命纪念馆"/>
        <s v="志丹刘志丹烈士陵园"/>
        <s v="老君山旅游景区"/>
        <s v="志丹县九吾山森林公园"/>
        <s v="玉华宫景区"/>
        <s v="杨虎城将军纪念馆"/>
        <s v="凤凰古镇景区"/>
        <s v="西安半坡博物馆"/>
        <s v="西安常宁宫休闲山庄"/>
        <s v="红碱淖旅游景区"/>
        <s v="万安禅院石窟景区"/>
        <s v="秦楚古道旅游区"/>
        <s v="西安高陵奇石博物馆"/>
        <s v="延安市杜公祠景区"/>
        <s v="武功县姜嫄水乡景区 "/>
        <s v="西安金鼎蓝田玉石艺园"/>
        <s v="西安辋川溶洞风景区"/>
        <s v="武侯祠博物馆"/>
        <s v="上王村景区"/>
        <s v="西安大唐西市文化景区"/>
        <s v="西安博物院（小雁塔）"/>
        <s v="牧护关滑雪场景区"/>
        <s v="尧头窑文化旅游生态园区"/>
        <s v="药王山景区"/>
        <s v="九成宫碑亭景区"/>
        <s v="延川县黄河乾坤湾旅游景区"/>
        <s v="千湖国家湿地公园"/>
        <s v="合阳县福山景区"/>
        <s v="绥德县绿源休闲生态园"/>
        <s v="永兴坊景区"/>
        <s v="甘泉劳山森林公园景区"/>
        <s v="金粟山景区"/>
        <s v="牛背梁景区"/>
        <s v="延安枣园革命旧址"/>
        <s v="扶风野河山森林公园"/>
        <s v="南湖公园"/>
        <s v="吴山风景区"/>
        <s v="华阴市城市文化公园"/>
        <s v="五龙洞国家森林公园"/>
        <s v="南沙湖景区"/>
        <s v="紫阳文笔山景区"/>
        <s v="户县钟馗故里民俗文化旅游景区"/>
        <s v="汉阴县龙岗生态旅游区"/>
        <s v="周公庙风景名胜区"/>
        <s v="韩城坤元庙生态风景区"/>
        <s v="宏兴码头生态观光园景区 "/>
        <s v="西安石羊农庄生态休闲观光园"/>
        <s v="原点新城商贸旅游示范区"/>
        <s v="瀛湖旅游景区"/>
        <s v="乾陵博物馆"/>
        <s v="定边县石光银治沙造林示范区"/>
        <s v="曲江秦二世陵遗址公园景区"/>
        <s v="千层河旅游风景区"/>
        <s v="西安市黑河旅游景区"/>
        <s v="渭南卤阳湖景区"/>
        <s v="陕西历史博物馆"/>
        <s v="灵山风景区"/>
        <s v="洛川苹果博览园景区"/>
        <s v="韩城市党家村景区"/>
        <s v="栈道漂流"/>
        <s v="黄帝陵景区"/>
        <s v="蒲城县清代考院博物馆"/>
        <s v="乐华城乐华欢乐世界景区"/>
        <s v="天书峡景区"/>
        <s v="筒车湾休闲景区"/>
        <s v="大清花家庭农场"/>
        <s v="咸阳李靖故居"/>
        <s v="临潼奥特莱斯景区"/>
        <s v="桔园景区"/>
        <s v="周至水街沙沙河景区"/>
        <s v="草堂寺"/>
        <s v="白鹿原影视城景区"/>
        <s v="临潼区博物馆"/>
        <s v="古大散关景区"/>
        <s v="禹平川秦岭原乡旅游景区"/>
        <s v="三原博物馆"/>
        <s v="金丝峡丹江漂流景区"/>
        <s v="汉水源森林公园"/>
        <s v="靖边县金鸡沙景区"/>
        <s v="靖边县小河会议旧址景区"/>
        <s v="华州皮影文化园"/>
        <s v="唐杨贵妃墓博物馆"/>
        <s v="澄城县良周秦汉宫景区"/>
        <s v="飞渡峡·黄安坝景区"/>
        <s v="韩城古城文化街区"/>
        <s v="朱雀国家森林公园"/>
        <s v="张骞纪念馆"/>
        <s v="商於古道棣花文化旅游景区"/>
        <s v="渭南葡萄产业园"/>
        <s v="东湖风景区"/>
        <s v="韩城霸岭狩猎休闲山庄"/>
        <s v="米脂县李自成行宫景区"/>
        <s v="五丈原风景名胜区"/>
        <s v="陕西翠华山国家地质公园"/>
        <s v="华山御温泉景区"/>
        <s v="午子山风景名胜区"/>
        <s v="榆阳区季鸾公园景区"/>
        <s v="清涧县路遥书苑景区"/>
        <s v="佳县赤牛坬民俗文化村"/>
        <s v="白河县天宝梯彩农园景区"/>
        <s v="关山草原风景名胜区"/>
        <s v="绥德县文化广场"/>
        <s v=" 同州湖"/>
        <s v="龙首坝风景区"/>
        <s v="延安杨家岭革命旧址"/>
        <s v="西安秦岭野生动物园"/>
        <s v="水陆庵"/>
        <s v="西安华南城景区"/>
        <s v="大禹庙景区"/>
        <s v="渭南航天生态园"/>
        <s v="商南县太子坪景区"/>
        <s v="鹿城公园"/>
        <s v="大荔县八鱼石墓博物馆"/>
        <s v="福地湖景区"/>
        <s v="延安革命纪念馆"/>
        <s v="长青华阳景区"/>
        <s v="西安曲江楼观道文化展示区"/>
        <s v="普照寺景区"/>
        <s v="骆家坝景区"/>
        <s v="香溪洞风景区"/>
        <s v="陕西太平国家森林公园"/>
        <s v="天蓬山寨景区"/>
        <s v="子洲县西峰寺景区"/>
        <s v="灞桥生态湿地公园"/>
        <s v="龙门洞森林公园"/>
        <s v="延川路遥故居景区"/>
        <s v="陶艺村景区"/>
        <s v="旬阳县红军纪念馆"/>
        <s v="咀头休闲农业体验地"/>
        <s v="志丹抗日红军大学旧址景区"/>
        <s v="府谷县木瓜园堡"/>
        <s v="九天山风景区"/>
        <s v="陕西子长钟山石窟景区"/>
        <s v="后湾村"/>
        <s v="八路军西安办事处纪念馆"/>
        <s v="黄柏塬原生态风景区"/>
        <s v="西安青龙寺遗址景区"/>
        <s v="丹凤金山旅游度假区"/>
        <s v="太白山国家森林公园"/>
        <s v="大水川旅游区"/>
        <s v="安塞南沟景区"/>
        <s v="马嵬驿民俗文化体验园"/>
        <s v="黄土地窑洞生态度假庄园"/>
        <s v="天台山—鸡峰山景区"/>
        <s v="金台观道文化景区"/>
        <s v="石泉子午银滩景区"/>
        <s v="渭华起义纪念馆"/>
        <s v="蔡文姬纪念馆"/>
        <s v="闯王寨景区"/>
        <s v="雷音山风景区"/>
        <s v="富县直罗战役纪念馆景区"/>
        <s v="吴堡县黄河二碛"/>
        <s v="旬阳县蜀河古镇景区"/>
        <s v="泾阳崇文塔景区"/>
        <s v="洛南音乐小镇景区"/>
        <s v="泾渭茯茶坊"/>
        <s v="西安浐灞国家湿地公园"/>
        <s v="西安世博园"/>
        <s v="大唐秦王陵"/>
        <s v="金台山文化旅游区"/>
        <s v="黄河壶口瀑布景区"/>
        <s v="少华山国家森林公园"/>
        <s v="户县重阳宫"/>
        <s v="靖边县五台森林公园"/>
        <s v="蒙牛乳业工业旅游区"/>
        <s v="习仲勋革命活动旧址景区"/>
        <s v="西北农林科技大学博览园"/>
        <s v="西安汉城湖景区"/>
        <s v="黎坪国家森林公园"/>
        <s v="红寺湖"/>
        <s v="平利县龙头旅游村"/>
        <s v="红石峡景区"/>
        <s v="榆阳黑龙潭景区"/>
        <s v="横山区卧龙山景区"/>
        <s v="镇安合曼般若小镇"/>
        <s v="六川河生态旅游区"/>
        <s v="咸阳茯茶文化体验园"/>
        <s v="西安祥峪森林公园"/>
        <s v="洛南玫瑰小镇"/>
        <s v="山阳法官庙秦岭原乡农旅小镇"/>
        <s v="西安广仁寺"/>
        <s v="中央红军长征胜利纪念园"/>
        <s v="咸阳古渡遗址博物馆"/>
        <s v="子长龙虎山景区"/>
        <s v="陕西黄陵国家森林公园"/>
        <s v="金地景区"/>
        <s v="丹江漂流景区"/>
        <s v="盛洲荷苑景区"/>
        <s v="古豳文化博览园"/>
        <s v="桃花谷旅游景区"/>
        <s v="户县万华山朝阳景区"/>
        <s v="韩城市司马迁祠"/>
        <s v="西安阎良航空科技馆"/>
        <s v="陈炉古镇景区"/>
        <s v="安康高新生态休闲旅游区"/>
        <s v="宜川县秋林第二战区长官司令部旧址"/>
        <s v="延安王家坪革命旧址"/>
        <s v="红石峡生态公园景区"/>
        <s v="秦岭峡谷漂流景区"/>
        <s v="韩城市晋公山风景区"/>
        <s v="月亮洞景区"/>
        <s v="石川河景区"/>
        <s v="蒲城巴厘岛温泉"/>
        <s v="永寿云集生态园"/>
        <s v="漫川古镇景区"/>
        <s v="泾河新城茯茶镇"/>
        <s v="温泉河景区"/>
        <s v="大荔中节能光伏农业生态园景区"/>
        <s v="杨虎城将军陵园"/>
        <s v="杨凌新天地农业科技示范园"/>
        <s v="宜君旱作梯田景区"/>
        <s v="袁家村关中印象体验地"/>
        <s v="横山区波罗古堡"/>
        <s v="洛川相思湖景区"/>
        <s v="大石头民俗旅游度假村"/>
        <s v="蒲城林则徐纪念馆"/>
        <s v="法门寺文化景区"/>
        <s v="绥德县创新现代农业园区"/>
        <s v="榆阳区圣都乐园"/>
        <s v="凤县凤凰湖"/>
        <s v="汉阳陵博物馆"/>
        <s v="安吴青训班纪念馆"/>
        <s v="曲江海洋极地公园"/>
        <s v="紫柏山景区"/>
        <s v="甘泉湖旅游景区"/>
        <s v="西安大兴善寺"/>
        <s v="马家堡关中特委革命旧址"/>
        <s v="柏峪神道岭景区"/>
        <s v="西咸沣东沣河生态景区"/>
        <s v="中华石鼓园"/>
        <s v="柞水溶洞景区"/>
        <s v="扶风七星河湿地公园"/>
        <s v="大荔平罗农业公园"/>
        <s v="凤县灵官峡景区"/>
        <s v="华山景区"/>
        <s v="南湖风景区"/>
        <s v="朱鹮梨园景区"/>
        <s v="西安市王顺山景区"/>
        <s v="昭陵博物馆"/>
        <s v="马咀欧洲风情小镇景区"/>
        <s v="嘉陵江源头景区"/>
        <s v="耀州文庙街民俗风情景区"/>
        <s v="柞水孝义小镇景区"/>
        <s v="长安万华山景区"/>
        <s v="镇北台景区"/>
        <s v="大荔新堡月季文化产业园景区"/>
        <s v="马栏革命旧址"/>
        <s v="中坝大峡谷景区"/>
        <s v="眉县秦皇生态园"/>
        <s v="汉江燕翔洞生态景区"/>
        <s v="宝鸡民俗博物馆"/>
        <s v="象山森林公园"/>
        <s v="消灾寺景区"/>
        <s v="凤冠山景区"/>
        <s v="秦始皇帝陵博物院"/>
        <s v="西安城墙景区"/>
        <s v="眉县张载祠"/>
        <s v="杨凌现代农业示范园区创新园"/>
        <s v="云盖寺古镇"/>
        <s v="西安汤峪旅游度假区"/>
        <s v="神木二郎山旅游景区"/>
        <s v="西虢水上乐园"/>
        <s v="岚皋县岚河漂流"/>
        <s v="西安贾平凹文化艺术馆"/>
        <s v="张良庙--紫柏山风景区"/>
        <s v="白河县桥儿沟文化旅游街区"/>
        <s v="郑国渠旅游景区"/>
        <s v="咸阳博物馆"/>
        <s v="平利县长安女娲茶镇旅游景区"/>
        <s v="双龙生态旅游景区"/>
        <s v="神木县陕北民俗文化大观园"/>
        <s v="定边县塞上森林小镇"/>
        <s v="蓝田猿人遗址"/>
      </sharedItems>
    </cacheField>
    <cacheField name="level" numFmtId="0">
      <sharedItems count="3">
        <s v="4A"/>
        <s v="3A"/>
        <s v="5A"/>
      </sharedItems>
    </cacheField>
    <cacheField name="city" numFmtId="0">
      <sharedItems count="12">
        <s v="宝鸡"/>
        <s v="咸阳"/>
        <s v="汉中"/>
        <s v="榆林"/>
        <s v="延安"/>
        <s v="西安"/>
        <s v="韩城"/>
        <s v="安康"/>
        <s v="渭南"/>
        <s v="铜川"/>
        <s v="商洛"/>
        <s v="杨凌"/>
      </sharedItems>
    </cacheField>
    <cacheField name="type" numFmtId="0">
      <sharedItems count="3">
        <s v="休闲旅游"/>
        <s v="人文历史"/>
        <s v="自然风光"/>
      </sharedItems>
    </cacheField>
    <cacheField name="name" numFmtId="0">
      <sharedItems count="1049">
        <s v="Tourist715"/>
        <s v="Tourist716"/>
        <s v="Tourist717"/>
        <s v="Tourist718"/>
        <s v="Tourist719"/>
        <s v="Tourist720"/>
        <s v="Tourist721"/>
        <s v="Tourist722"/>
        <s v="Tourist723"/>
        <s v="Tourist724"/>
        <s v="Tourist725"/>
        <s v="Tourist726"/>
        <s v="Tourist727"/>
        <s v="Tourist728"/>
        <s v="Tourist729"/>
        <s v="Tourist730"/>
        <s v="Tourist731"/>
        <s v="Tourist732"/>
        <s v="Tourist733"/>
        <s v="Tourist734"/>
        <s v="Tourist735"/>
        <s v="Tourist736"/>
        <s v="Tourist737"/>
        <s v="Tourist738"/>
        <s v="Tourist739"/>
        <s v="Tourist740"/>
        <s v="Tourist741"/>
        <s v="Tourist742"/>
        <s v="Tourist743"/>
        <s v="Tourist744"/>
        <s v="Tourist745"/>
        <s v="Tourist746"/>
        <s v="Tourist747"/>
        <s v="Tourist748"/>
        <s v="Tourist749"/>
        <s v="Tourist750"/>
        <s v="Tourist751"/>
        <s v="Tourist752"/>
        <s v="Tourist753"/>
        <s v="Tourist754"/>
        <s v="Tourist755"/>
        <s v="Tourist756"/>
        <s v="Tourist757"/>
        <s v="Tourist758"/>
        <s v="Tourist759"/>
        <s v="Tourist760"/>
        <s v="Tourist761"/>
        <s v="Tourist762"/>
        <s v="Tourist763"/>
        <s v="Tourist764"/>
        <s v="Tourist765"/>
        <s v="Tourist766"/>
        <s v="Tourist767"/>
        <s v="Tourist768"/>
        <s v="Tourist769"/>
        <s v="Tourist770"/>
        <s v="Tourist771"/>
        <s v="Tourist772"/>
        <s v="Tourist773"/>
        <s v="Tourist774"/>
        <s v="Tourist775"/>
        <s v="Tourist776"/>
        <s v="Tourist777"/>
        <s v="Tourist778"/>
        <s v="Tourist779"/>
        <s v="Tourist780"/>
        <s v="Tourist781"/>
        <s v="Tourist782"/>
        <s v="Tourist783"/>
        <s v="Tourist784"/>
        <s v="Tourist785"/>
        <s v="Tourist786"/>
        <s v="Tourist787"/>
        <s v="Tourist788"/>
        <s v="Tourist789"/>
        <s v="Tourist790"/>
        <s v="Tourist791"/>
        <s v="Tourist792"/>
        <s v="Tourist793"/>
        <s v="Tourist794"/>
        <s v="Tourist795"/>
        <s v="Tourist796"/>
        <s v="Tourist797"/>
        <s v="Tourist798"/>
        <s v="Tourist799"/>
        <s v="Tourist800"/>
        <s v="Tourist801"/>
        <s v="Tourist802"/>
        <s v="Tourist803"/>
        <s v="Tourist804"/>
        <s v="Tourist805"/>
        <s v="Tourist806"/>
        <s v="Tourist807"/>
        <s v="Tourist808"/>
        <s v="Tourist809"/>
        <s v="Tourist810"/>
        <s v="Tourist811"/>
        <s v="Tourist812"/>
        <s v="Tourist813"/>
        <s v="Tourist814"/>
        <s v="Tourist815"/>
        <s v="Tourist816"/>
        <s v="Tourist817"/>
        <s v="Tourist818"/>
        <s v="Tourist819"/>
        <s v="Tourist820"/>
        <s v="Tourist821"/>
        <s v="Tourist822"/>
        <s v="Tourist823"/>
        <s v="Tourist824"/>
        <s v="Tourist825"/>
        <s v="Tourist826"/>
        <s v="Tourist827"/>
        <s v="Tourist828"/>
        <s v="Tourist829"/>
        <s v="Tourist830"/>
        <s v="Tourist831"/>
        <s v="Tourist832"/>
        <s v="Tourist833"/>
        <s v="Tourist834"/>
        <s v="Tourist835"/>
        <s v="Tourist836"/>
        <s v="Tourist837"/>
        <s v="Tourist838"/>
        <s v="Tourist839"/>
        <s v="Tourist840"/>
        <s v="Tourist841"/>
        <s v="Tourist842"/>
        <s v="Tourist843"/>
        <s v="Tourist844"/>
        <s v="Tourist845"/>
        <s v="Tourist846"/>
        <s v="Tourist847"/>
        <s v="Tourist848"/>
        <s v="Tourist849"/>
        <s v="Tourist850"/>
        <s v="Tourist851"/>
        <s v="Tourist852"/>
        <s v="Tourist853"/>
        <s v="Tourist854"/>
        <s v="Tourist855"/>
        <s v="Tourist856"/>
        <s v="Tourist857"/>
        <s v="Tourist858"/>
        <s v="Tourist859"/>
        <s v="Tourist860"/>
        <s v="Tourist861"/>
        <s v="Tourist862"/>
        <s v="Tourist863"/>
        <s v="Tourist864"/>
        <s v="Tourist865"/>
        <s v="Tourist866"/>
        <s v="Tourist867"/>
        <s v="Tourist868"/>
        <s v="Tourist869"/>
        <s v="Tourist870"/>
        <s v="Tourist871"/>
        <s v="Tourist872"/>
        <s v="Tourist873"/>
        <s v="Tourist874"/>
        <s v="Tourist875"/>
        <s v="Tourist876"/>
        <s v="Tourist877"/>
        <s v="Tourist878"/>
        <s v="Tourist879"/>
        <s v="Tourist880"/>
        <s v="Tourist881"/>
        <s v="Tourist882"/>
        <s v="Tourist883"/>
        <s v="Tourist884"/>
        <s v="Tourist885"/>
        <s v="Tourist886"/>
        <s v="Tourist887"/>
        <s v="Tourist888"/>
        <s v="Tourist889"/>
        <s v="Tourist890"/>
        <s v="Tourist891"/>
        <s v="Tourist892"/>
        <s v="Tourist893"/>
        <s v="Tourist894"/>
        <s v="Tourist895"/>
        <s v="Tourist896"/>
        <s v="Tourist897"/>
        <s v="Tourist898"/>
        <s v="Tourist899"/>
        <s v="Tourist900"/>
        <s v="Tourist901"/>
        <s v="Tourist902"/>
        <s v="Tourist903"/>
        <s v="Tourist904"/>
        <s v="Tourist905"/>
        <s v="Tourist906"/>
        <s v="Tourist907"/>
        <s v="Tourist908"/>
        <s v="Tourist909"/>
        <s v="Tourist910"/>
        <s v="Tourist911"/>
        <s v="Tourist912"/>
        <s v="Tourist913"/>
        <s v="Tourist914"/>
        <s v="Tourist915"/>
        <s v="Tourist916"/>
        <s v="Tourist917"/>
        <s v="Tourist918"/>
        <s v="Tourist919"/>
        <s v="Tourist920"/>
        <s v="Tourist921"/>
        <s v="Tourist922"/>
        <s v="Tourist923"/>
        <s v="Tourist924"/>
        <s v="Tourist925"/>
        <s v="Tourist926"/>
        <s v="Tourist927"/>
        <s v="Tourist928"/>
        <s v="Tourist929"/>
        <s v="Tourist930"/>
        <s v="Tourist931"/>
        <s v="Tourist932"/>
        <s v="Tourist933"/>
        <s v="Tourist934"/>
        <s v="Tourist935"/>
        <s v="Tourist936"/>
        <s v="Tourist937"/>
        <s v="Tourist938"/>
        <s v="Tourist939"/>
        <s v="Tourist940"/>
        <s v="Tourist941"/>
        <s v="Tourist942"/>
        <s v="Tourist943"/>
        <s v="Tourist944"/>
        <s v="Tourist945"/>
        <s v="Tourist946"/>
        <s v="Tourist947"/>
        <s v="Tourist948"/>
        <s v="Tourist949"/>
        <s v="Tourist950"/>
        <s v="Tourist951"/>
        <s v="Tourist952"/>
        <s v="Tourist953"/>
        <s v="Tourist954"/>
        <s v="Tourist955"/>
        <s v="Tourist956"/>
        <s v="Tourist957"/>
        <s v="Tourist958"/>
        <s v="Tourist959"/>
        <s v="Tourist960"/>
        <s v="Tourist961"/>
        <s v="Tourist962"/>
        <s v="Tourist963"/>
        <s v="Tourist964"/>
        <s v="Tourist965"/>
        <s v="Tourist966"/>
        <s v="Tourist967"/>
        <s v="Tourist968"/>
        <s v="Tourist969"/>
        <s v="Tourist970"/>
        <s v="Tourist971"/>
        <s v="Tourist972"/>
        <s v="Tourist973"/>
        <s v="Tourist974"/>
        <s v="Tourist975"/>
        <s v="Tourist976"/>
        <s v="Tourist977"/>
        <s v="Tourist978"/>
        <s v="Tourist979"/>
        <s v="Tourist980"/>
        <s v="Tourist981"/>
        <s v="Tourist982"/>
        <s v="Tourist983"/>
        <s v="Tourist984"/>
        <s v="Tourist985"/>
        <s v="Tourist986"/>
        <s v="Tourist987"/>
        <s v="Tourist988"/>
        <s v="Tourist989"/>
        <s v="Tourist990"/>
        <s v="Tourist991"/>
        <s v="Tourist992"/>
        <s v="Tourist993"/>
        <s v="Tourist994"/>
        <s v="Tourist995"/>
        <s v="Tourist996"/>
        <s v="Tourist997"/>
        <s v="Tourist998"/>
        <s v="Tourist999"/>
        <s v="Tourist1000"/>
        <s v="Tourist1001"/>
        <s v="Tourist1002"/>
        <s v="Tourist1003"/>
        <s v="Tourist1004"/>
        <s v="Tourist1005"/>
        <s v="Tourist1006"/>
        <s v="Tourist1007"/>
        <s v="Tourist1008"/>
        <s v="Tourist1009"/>
        <s v="Tourist1010"/>
        <s v="Tourist1011"/>
        <s v="Tourist1012"/>
        <s v="Tourist1013"/>
        <s v="Tourist1014"/>
        <s v="Tourist1015"/>
        <s v="Tourist1016"/>
        <s v="Tourist1017"/>
        <s v="Tourist1018"/>
        <s v="Tourist1019"/>
        <s v="Tourist1020"/>
        <s v="Tourist1021"/>
        <s v="Tourist1022"/>
        <s v="Tourist1023"/>
        <s v="Tourist1024"/>
        <s v="Tourist1025"/>
        <s v="Tourist1026"/>
        <s v="Tourist1027"/>
        <s v="Tourist1028"/>
        <s v="Tourist1029"/>
        <s v="Tourist1030"/>
        <s v="Tourist1031"/>
        <s v="Tourist1032"/>
        <s v="Tourist1033"/>
        <s v="Tourist1034"/>
        <s v="Tourist1035"/>
        <s v="Tourist1036"/>
        <s v="Tourist1037"/>
        <s v="Tourist1038"/>
        <s v="Tourist1039"/>
        <s v="Tourist1040"/>
        <s v="Tourist1041"/>
        <s v="Tourist1042"/>
        <s v="Tourist1043"/>
        <s v="Tourist1044"/>
        <s v="Tourist1045"/>
        <s v="Tourist1046"/>
        <s v="Tourist1047"/>
        <s v="Tourist1048"/>
        <s v="Tourist1049"/>
        <s v="Tourist1"/>
        <s v="Tourist2"/>
        <s v="Tourist3"/>
        <s v="Tourist4"/>
        <s v="Tourist5"/>
        <s v="Tourist6"/>
        <s v="Tourist7"/>
        <s v="Tourist8"/>
        <s v="Tourist9"/>
        <s v="Tourist10"/>
        <s v="Tourist11"/>
        <s v="Tourist12"/>
        <s v="Tourist13"/>
        <s v="Tourist14"/>
        <s v="Tourist15"/>
        <s v="Tourist16"/>
        <s v="Tourist17"/>
        <s v="Tourist18"/>
        <s v="Tourist19"/>
        <s v="Tourist20"/>
        <s v="Tourist21"/>
        <s v="Tourist22"/>
        <s v="Tourist23"/>
        <s v="Tourist24"/>
        <s v="Tourist25"/>
        <s v="Tourist26"/>
        <s v="Tourist27"/>
        <s v="Tourist28"/>
        <s v="Tourist29"/>
        <s v="Tourist30"/>
        <s v="Tourist31"/>
        <s v="Tourist32"/>
        <s v="Tourist33"/>
        <s v="Tourist34"/>
        <s v="Tourist35"/>
        <s v="Tourist36"/>
        <s v="Tourist37"/>
        <s v="Tourist38"/>
        <s v="Tourist39"/>
        <s v="Tourist40"/>
        <s v="Tourist41"/>
        <s v="Tourist42"/>
        <s v="Tourist43"/>
        <s v="Tourist44"/>
        <s v="Tourist45"/>
        <s v="Tourist46"/>
        <s v="Tourist47"/>
        <s v="Tourist48"/>
        <s v="Tourist49"/>
        <s v="Tourist50"/>
        <s v="Tourist51"/>
        <s v="Tourist52"/>
        <s v="Tourist53"/>
        <s v="Tourist54"/>
        <s v="Tourist55"/>
        <s v="Tourist56"/>
        <s v="Tourist57"/>
        <s v="Tourist58"/>
        <s v="Tourist59"/>
        <s v="Tourist60"/>
        <s v="Tourist61"/>
        <s v="Tourist62"/>
        <s v="Tourist63"/>
        <s v="Tourist64"/>
        <s v="Tourist65"/>
        <s v="Tourist66"/>
        <s v="Tourist67"/>
        <s v="Tourist68"/>
        <s v="Tourist69"/>
        <s v="Tourist70"/>
        <s v="Tourist71"/>
        <s v="Tourist72"/>
        <s v="Tourist73"/>
        <s v="Tourist74"/>
        <s v="Tourist75"/>
        <s v="Tourist76"/>
        <s v="Tourist77"/>
        <s v="Tourist78"/>
        <s v="Tourist79"/>
        <s v="Tourist80"/>
        <s v="Tourist81"/>
        <s v="Tourist82"/>
        <s v="Tourist83"/>
        <s v="Tourist84"/>
        <s v="Tourist85"/>
        <s v="Tourist86"/>
        <s v="Tourist87"/>
        <s v="Tourist88"/>
        <s v="Tourist89"/>
        <s v="Tourist90"/>
        <s v="Tourist91"/>
        <s v="Tourist92"/>
        <s v="Tourist93"/>
        <s v="Tourist94"/>
        <s v="Tourist95"/>
        <s v="Tourist96"/>
        <s v="Tourist97"/>
        <s v="Tourist98"/>
        <s v="Tourist99"/>
        <s v="Tourist100"/>
        <s v="Tourist101"/>
        <s v="Tourist102"/>
        <s v="Tourist103"/>
        <s v="Tourist104"/>
        <s v="Tourist105"/>
        <s v="Tourist106"/>
        <s v="Tourist107"/>
        <s v="Tourist108"/>
        <s v="Tourist109"/>
        <s v="Tourist110"/>
        <s v="Tourist111"/>
        <s v="Tourist112"/>
        <s v="Tourist113"/>
        <s v="Tourist114"/>
        <s v="Tourist115"/>
        <s v="Tourist116"/>
        <s v="Tourist117"/>
        <s v="Tourist118"/>
        <s v="Tourist119"/>
        <s v="Tourist120"/>
        <s v="Tourist121"/>
        <s v="Tourist122"/>
        <s v="Tourist123"/>
        <s v="Tourist124"/>
        <s v="Tourist125"/>
        <s v="Tourist126"/>
        <s v="Tourist127"/>
        <s v="Tourist128"/>
        <s v="Tourist129"/>
        <s v="Tourist130"/>
        <s v="Tourist131"/>
        <s v="Tourist132"/>
        <s v="Tourist133"/>
        <s v="Tourist134"/>
        <s v="Tourist135"/>
        <s v="Tourist136"/>
        <s v="Tourist137"/>
        <s v="Tourist138"/>
        <s v="Tourist139"/>
        <s v="Tourist140"/>
        <s v="Tourist141"/>
        <s v="Tourist142"/>
        <s v="Tourist143"/>
        <s v="Tourist144"/>
        <s v="Tourist145"/>
        <s v="Tourist146"/>
        <s v="Tourist147"/>
        <s v="Tourist148"/>
        <s v="Tourist149"/>
        <s v="Tourist150"/>
        <s v="Tourist151"/>
        <s v="Tourist152"/>
        <s v="Tourist153"/>
        <s v="Tourist154"/>
        <s v="Tourist155"/>
        <s v="Tourist156"/>
        <s v="Tourist157"/>
        <s v="Tourist158"/>
        <s v="Tourist159"/>
        <s v="Tourist160"/>
        <s v="Tourist161"/>
        <s v="Tourist162"/>
        <s v="Tourist163"/>
        <s v="Tourist164"/>
        <s v="Tourist165"/>
        <s v="Tourist166"/>
        <s v="Tourist167"/>
        <s v="Tourist168"/>
        <s v="Tourist169"/>
        <s v="Tourist170"/>
        <s v="Tourist171"/>
        <s v="Tourist172"/>
        <s v="Tourist173"/>
        <s v="Tourist174"/>
        <s v="Tourist175"/>
        <s v="Tourist176"/>
        <s v="Tourist177"/>
        <s v="Tourist178"/>
        <s v="Tourist179"/>
        <s v="Tourist180"/>
        <s v="Tourist181"/>
        <s v="Tourist182"/>
        <s v="Tourist183"/>
        <s v="Tourist184"/>
        <s v="Tourist185"/>
        <s v="Tourist186"/>
        <s v="Tourist187"/>
        <s v="Tourist188"/>
        <s v="Tourist189"/>
        <s v="Tourist190"/>
        <s v="Tourist191"/>
        <s v="Tourist192"/>
        <s v="Tourist193"/>
        <s v="Tourist194"/>
        <s v="Tourist195"/>
        <s v="Tourist196"/>
        <s v="Tourist197"/>
        <s v="Tourist198"/>
        <s v="Tourist199"/>
        <s v="Tourist200"/>
        <s v="Tourist201"/>
        <s v="Tourist202"/>
        <s v="Tourist203"/>
        <s v="Tourist204"/>
        <s v="Tourist205"/>
        <s v="Tourist206"/>
        <s v="Tourist207"/>
        <s v="Tourist208"/>
        <s v="Tourist209"/>
        <s v="Tourist210"/>
        <s v="Tourist211"/>
        <s v="Tourist212"/>
        <s v="Tourist213"/>
        <s v="Tourist214"/>
        <s v="Tourist215"/>
        <s v="Tourist216"/>
        <s v="Tourist217"/>
        <s v="Tourist218"/>
        <s v="Tourist219"/>
        <s v="Tourist220"/>
        <s v="Tourist221"/>
        <s v="Tourist222"/>
        <s v="Tourist223"/>
        <s v="Tourist224"/>
        <s v="Tourist225"/>
        <s v="Tourist226"/>
        <s v="Tourist227"/>
        <s v="Tourist228"/>
        <s v="Tourist229"/>
        <s v="Tourist230"/>
        <s v="Tourist231"/>
        <s v="Tourist232"/>
        <s v="Tourist233"/>
        <s v="Tourist234"/>
        <s v="Tourist235"/>
        <s v="Tourist236"/>
        <s v="Tourist237"/>
        <s v="Tourist238"/>
        <s v="Tourist239"/>
        <s v="Tourist240"/>
        <s v="Tourist241"/>
        <s v="Tourist242"/>
        <s v="Tourist243"/>
        <s v="Tourist244"/>
        <s v="Tourist245"/>
        <s v="Tourist246"/>
        <s v="Tourist247"/>
        <s v="Tourist248"/>
        <s v="Tourist249"/>
        <s v="Tourist250"/>
        <s v="Tourist251"/>
        <s v="Tourist252"/>
        <s v="Tourist253"/>
        <s v="Tourist254"/>
        <s v="Tourist255"/>
        <s v="Tourist256"/>
        <s v="Tourist257"/>
        <s v="Tourist258"/>
        <s v="Tourist259"/>
        <s v="Tourist260"/>
        <s v="Tourist261"/>
        <s v="Tourist262"/>
        <s v="Tourist263"/>
        <s v="Tourist264"/>
        <s v="Tourist265"/>
        <s v="Tourist266"/>
        <s v="Tourist267"/>
        <s v="Tourist268"/>
        <s v="Tourist269"/>
        <s v="Tourist270"/>
        <s v="Tourist271"/>
        <s v="Tourist272"/>
        <s v="Tourist273"/>
        <s v="Tourist274"/>
        <s v="Tourist275"/>
        <s v="Tourist276"/>
        <s v="Tourist277"/>
        <s v="Tourist278"/>
        <s v="Tourist279"/>
        <s v="Tourist280"/>
        <s v="Tourist281"/>
        <s v="Tourist282"/>
        <s v="Tourist283"/>
        <s v="Tourist284"/>
        <s v="Tourist285"/>
        <s v="Tourist286"/>
        <s v="Tourist287"/>
        <s v="Tourist288"/>
        <s v="Tourist289"/>
        <s v="Tourist290"/>
        <s v="Tourist291"/>
        <s v="Tourist292"/>
        <s v="Tourist293"/>
        <s v="Tourist294"/>
        <s v="Tourist295"/>
        <s v="Tourist296"/>
        <s v="Tourist297"/>
        <s v="Tourist298"/>
        <s v="Tourist299"/>
        <s v="Tourist300"/>
        <s v="Tourist301"/>
        <s v="Tourist302"/>
        <s v="Tourist303"/>
        <s v="Tourist304"/>
        <s v="Tourist305"/>
        <s v="Tourist306"/>
        <s v="Tourist307"/>
        <s v="Tourist308"/>
        <s v="Tourist309"/>
        <s v="Tourist310"/>
        <s v="Tourist311"/>
        <s v="Tourist312"/>
        <s v="Tourist313"/>
        <s v="Tourist314"/>
        <s v="Tourist315"/>
        <s v="Tourist316"/>
        <s v="Tourist317"/>
        <s v="Tourist318"/>
        <s v="Tourist319"/>
        <s v="Tourist320"/>
        <s v="Tourist321"/>
        <s v="Tourist322"/>
        <s v="Tourist323"/>
        <s v="Tourist324"/>
        <s v="Tourist325"/>
        <s v="Tourist326"/>
        <s v="Tourist327"/>
        <s v="Tourist328"/>
        <s v="Tourist329"/>
        <s v="Tourist330"/>
        <s v="Tourist331"/>
        <s v="Tourist332"/>
        <s v="Tourist333"/>
        <s v="Tourist334"/>
        <s v="Tourist335"/>
        <s v="Tourist336"/>
        <s v="Tourist337"/>
        <s v="Tourist338"/>
        <s v="Tourist339"/>
        <s v="Tourist340"/>
        <s v="Tourist341"/>
        <s v="Tourist342"/>
        <s v="Tourist343"/>
        <s v="Tourist344"/>
        <s v="Tourist345"/>
        <s v="Tourist346"/>
        <s v="Tourist347"/>
        <s v="Tourist348"/>
        <s v="Tourist349"/>
        <s v="Tourist350"/>
        <s v="Tourist351"/>
        <s v="Tourist352"/>
        <s v="Tourist353"/>
        <s v="Tourist354"/>
        <s v="Tourist355"/>
        <s v="Tourist356"/>
        <s v="Tourist357"/>
        <s v="Tourist358"/>
        <s v="Tourist359"/>
        <s v="Tourist360"/>
        <s v="Tourist361"/>
        <s v="Tourist362"/>
        <s v="Tourist363"/>
        <s v="Tourist364"/>
        <s v="Tourist365"/>
        <s v="Tourist366"/>
        <s v="Tourist367"/>
        <s v="Tourist368"/>
        <s v="Tourist369"/>
        <s v="Tourist370"/>
        <s v="Tourist371"/>
        <s v="Tourist372"/>
        <s v="Tourist373"/>
        <s v="Tourist374"/>
        <s v="Tourist375"/>
        <s v="Tourist376"/>
        <s v="Tourist377"/>
        <s v="Tourist378"/>
        <s v="Tourist379"/>
        <s v="Tourist380"/>
        <s v="Tourist381"/>
        <s v="Tourist382"/>
        <s v="Tourist383"/>
        <s v="Tourist384"/>
        <s v="Tourist385"/>
        <s v="Tourist386"/>
        <s v="Tourist387"/>
        <s v="Tourist388"/>
        <s v="Tourist389"/>
        <s v="Tourist390"/>
        <s v="Tourist391"/>
        <s v="Tourist392"/>
        <s v="Tourist393"/>
        <s v="Tourist394"/>
        <s v="Tourist395"/>
        <s v="Tourist396"/>
        <s v="Tourist397"/>
        <s v="Tourist398"/>
        <s v="Tourist399"/>
        <s v="Tourist400"/>
        <s v="Tourist401"/>
        <s v="Tourist402"/>
        <s v="Tourist403"/>
        <s v="Tourist404"/>
        <s v="Tourist405"/>
        <s v="Tourist406"/>
        <s v="Tourist407"/>
        <s v="Tourist408"/>
        <s v="Tourist409"/>
        <s v="Tourist410"/>
        <s v="Tourist411"/>
        <s v="Tourist412"/>
        <s v="Tourist413"/>
        <s v="Tourist414"/>
        <s v="Tourist415"/>
        <s v="Tourist416"/>
        <s v="Tourist417"/>
        <s v="Tourist418"/>
        <s v="Tourist419"/>
        <s v="Tourist420"/>
        <s v="Tourist421"/>
        <s v="Tourist422"/>
        <s v="Tourist423"/>
        <s v="Tourist424"/>
        <s v="Tourist425"/>
        <s v="Tourist426"/>
        <s v="Tourist427"/>
        <s v="Tourist428"/>
        <s v="Tourist429"/>
        <s v="Tourist430"/>
        <s v="Tourist431"/>
        <s v="Tourist432"/>
        <s v="Tourist433"/>
        <s v="Tourist434"/>
        <s v="Tourist435"/>
        <s v="Tourist436"/>
        <s v="Tourist437"/>
        <s v="Tourist438"/>
        <s v="Tourist439"/>
        <s v="Tourist440"/>
        <s v="Tourist441"/>
        <s v="Tourist442"/>
        <s v="Tourist443"/>
        <s v="Tourist444"/>
        <s v="Tourist445"/>
        <s v="Tourist446"/>
        <s v="Tourist447"/>
        <s v="Tourist448"/>
        <s v="Tourist449"/>
        <s v="Tourist450"/>
        <s v="Tourist451"/>
        <s v="Tourist452"/>
        <s v="Tourist453"/>
        <s v="Tourist454"/>
        <s v="Tourist455"/>
        <s v="Tourist456"/>
        <s v="Tourist457"/>
        <s v="Tourist458"/>
        <s v="Tourist459"/>
        <s v="Tourist460"/>
        <s v="Tourist461"/>
        <s v="Tourist462"/>
        <s v="Tourist463"/>
        <s v="Tourist464"/>
        <s v="Tourist465"/>
        <s v="Tourist466"/>
        <s v="Tourist467"/>
        <s v="Tourist468"/>
        <s v="Tourist469"/>
        <s v="Tourist470"/>
        <s v="Tourist471"/>
        <s v="Tourist472"/>
        <s v="Tourist473"/>
        <s v="Tourist474"/>
        <s v="Tourist475"/>
        <s v="Tourist476"/>
        <s v="Tourist477"/>
        <s v="Tourist478"/>
        <s v="Tourist479"/>
        <s v="Tourist480"/>
        <s v="Tourist481"/>
        <s v="Tourist482"/>
        <s v="Tourist483"/>
        <s v="Tourist484"/>
        <s v="Tourist485"/>
        <s v="Tourist486"/>
        <s v="Tourist487"/>
        <s v="Tourist488"/>
        <s v="Tourist489"/>
        <s v="Tourist490"/>
        <s v="Tourist491"/>
        <s v="Tourist492"/>
        <s v="Tourist493"/>
        <s v="Tourist494"/>
        <s v="Tourist495"/>
        <s v="Tourist496"/>
        <s v="Tourist497"/>
        <s v="Tourist498"/>
        <s v="Tourist499"/>
        <s v="Tourist500"/>
        <s v="Tourist501"/>
        <s v="Tourist502"/>
        <s v="Tourist503"/>
        <s v="Tourist504"/>
        <s v="Tourist505"/>
        <s v="Tourist506"/>
        <s v="Tourist507"/>
        <s v="Tourist508"/>
        <s v="Tourist509"/>
        <s v="Tourist510"/>
        <s v="Tourist511"/>
        <s v="Tourist512"/>
        <s v="Tourist513"/>
        <s v="Tourist514"/>
        <s v="Tourist515"/>
        <s v="Tourist516"/>
        <s v="Tourist517"/>
        <s v="Tourist518"/>
        <s v="Tourist519"/>
        <s v="Tourist520"/>
        <s v="Tourist521"/>
        <s v="Tourist522"/>
        <s v="Tourist523"/>
        <s v="Tourist524"/>
        <s v="Tourist525"/>
        <s v="Tourist526"/>
        <s v="Tourist527"/>
        <s v="Tourist528"/>
        <s v="Tourist529"/>
        <s v="Tourist530"/>
        <s v="Tourist531"/>
        <s v="Tourist532"/>
        <s v="Tourist533"/>
        <s v="Tourist534"/>
        <s v="Tourist535"/>
        <s v="Tourist536"/>
        <s v="Tourist537"/>
        <s v="Tourist538"/>
        <s v="Tourist539"/>
        <s v="Tourist540"/>
        <s v="Tourist541"/>
        <s v="Tourist542"/>
        <s v="Tourist543"/>
        <s v="Tourist544"/>
        <s v="Tourist545"/>
        <s v="Tourist546"/>
        <s v="Tourist547"/>
        <s v="Tourist548"/>
        <s v="Tourist549"/>
        <s v="Tourist550"/>
        <s v="Tourist551"/>
        <s v="Tourist552"/>
        <s v="Tourist553"/>
        <s v="Tourist554"/>
        <s v="Tourist555"/>
        <s v="Tourist556"/>
        <s v="Tourist557"/>
        <s v="Tourist558"/>
        <s v="Tourist559"/>
        <s v="Tourist560"/>
        <s v="Tourist561"/>
        <s v="Tourist562"/>
        <s v="Tourist563"/>
        <s v="Tourist564"/>
        <s v="Tourist565"/>
        <s v="Tourist566"/>
        <s v="Tourist567"/>
        <s v="Tourist568"/>
        <s v="Tourist569"/>
        <s v="Tourist570"/>
        <s v="Tourist571"/>
        <s v="Tourist572"/>
        <s v="Tourist573"/>
        <s v="Tourist574"/>
        <s v="Tourist575"/>
        <s v="Tourist576"/>
        <s v="Tourist577"/>
        <s v="Tourist578"/>
        <s v="Tourist579"/>
        <s v="Tourist580"/>
        <s v="Tourist581"/>
        <s v="Tourist582"/>
        <s v="Tourist583"/>
        <s v="Tourist584"/>
        <s v="Tourist585"/>
        <s v="Tourist586"/>
        <s v="Tourist587"/>
        <s v="Tourist588"/>
        <s v="Tourist589"/>
        <s v="Tourist590"/>
        <s v="Tourist591"/>
        <s v="Tourist592"/>
        <s v="Tourist593"/>
        <s v="Tourist594"/>
        <s v="Tourist595"/>
        <s v="Tourist596"/>
        <s v="Tourist597"/>
        <s v="Tourist598"/>
        <s v="Tourist599"/>
        <s v="Tourist600"/>
        <s v="Tourist601"/>
        <s v="Tourist602"/>
        <s v="Tourist603"/>
        <s v="Tourist604"/>
        <s v="Tourist605"/>
        <s v="Tourist606"/>
        <s v="Tourist607"/>
        <s v="Tourist608"/>
        <s v="Tourist609"/>
        <s v="Tourist610"/>
        <s v="Tourist611"/>
        <s v="Tourist612"/>
        <s v="Tourist613"/>
        <s v="Tourist614"/>
        <s v="Tourist615"/>
        <s v="Tourist616"/>
        <s v="Tourist617"/>
        <s v="Tourist618"/>
        <s v="Tourist619"/>
        <s v="Tourist620"/>
        <s v="Tourist621"/>
        <s v="Tourist622"/>
        <s v="Tourist623"/>
        <s v="Tourist624"/>
        <s v="Tourist625"/>
        <s v="Tourist626"/>
        <s v="Tourist627"/>
        <s v="Tourist628"/>
        <s v="Tourist629"/>
        <s v="Tourist630"/>
        <s v="Tourist631"/>
        <s v="Tourist632"/>
        <s v="Tourist633"/>
        <s v="Tourist634"/>
        <s v="Tourist635"/>
        <s v="Tourist636"/>
        <s v="Tourist637"/>
        <s v="Tourist638"/>
        <s v="Tourist639"/>
        <s v="Tourist640"/>
        <s v="Tourist641"/>
        <s v="Tourist642"/>
        <s v="Tourist643"/>
        <s v="Tourist644"/>
        <s v="Tourist645"/>
        <s v="Tourist646"/>
        <s v="Tourist647"/>
        <s v="Tourist648"/>
        <s v="Tourist649"/>
        <s v="Tourist650"/>
        <s v="Tourist651"/>
        <s v="Tourist652"/>
        <s v="Tourist653"/>
        <s v="Tourist654"/>
        <s v="Tourist655"/>
        <s v="Tourist656"/>
        <s v="Tourist657"/>
        <s v="Tourist658"/>
        <s v="Tourist659"/>
        <s v="Tourist660"/>
        <s v="Tourist661"/>
        <s v="Tourist662"/>
        <s v="Tourist663"/>
        <s v="Tourist664"/>
        <s v="Tourist665"/>
        <s v="Tourist666"/>
        <s v="Tourist667"/>
        <s v="Tourist668"/>
        <s v="Tourist669"/>
        <s v="Tourist670"/>
        <s v="Tourist671"/>
        <s v="Tourist672"/>
        <s v="Tourist673"/>
        <s v="Tourist674"/>
        <s v="Tourist675"/>
        <s v="Tourist676"/>
        <s v="Tourist677"/>
        <s v="Tourist678"/>
        <s v="Tourist679"/>
        <s v="Tourist680"/>
        <s v="Tourist681"/>
        <s v="Tourist682"/>
        <s v="Tourist683"/>
        <s v="Tourist684"/>
        <s v="Tourist685"/>
        <s v="Tourist686"/>
        <s v="Tourist687"/>
        <s v="Tourist688"/>
        <s v="Tourist689"/>
        <s v="Tourist690"/>
        <s v="Tourist691"/>
        <s v="Tourist692"/>
        <s v="Tourist693"/>
        <s v="Tourist694"/>
        <s v="Tourist695"/>
        <s v="Tourist696"/>
        <s v="Tourist697"/>
        <s v="Tourist698"/>
        <s v="Tourist699"/>
        <s v="Tourist700"/>
        <s v="Tourist701"/>
        <s v="Tourist702"/>
        <s v="Tourist703"/>
        <s v="Tourist704"/>
        <s v="Tourist705"/>
        <s v="Tourist706"/>
        <s v="Tourist707"/>
        <s v="Tourist708"/>
        <s v="Tourist709"/>
        <s v="Tourist710"/>
        <s v="Tourist711"/>
        <s v="Tourist712"/>
        <s v="Tourist713"/>
        <s v="Tourist714"/>
      </sharedItems>
    </cacheField>
    <cacheField name="transportation" numFmtId="0">
      <sharedItems count="5">
        <s v="自驾"/>
        <s v="飞机"/>
        <s v="大巴"/>
        <s v="高铁"/>
        <s v="火车"/>
      </sharedItems>
    </cacheField>
    <cacheField name="visitor_type" numFmtId="0">
      <sharedItems count="7">
        <s v="就医疗养"/>
        <s v="度假"/>
        <s v="参加会议"/>
        <s v="购物"/>
        <s v="娱乐"/>
        <s v="休闲"/>
        <s v="探亲访友"/>
      </sharedItems>
    </cacheField>
    <cacheField name="visitor_status" numFmtId="0">
      <sharedItems count="5">
        <s v="华侨"/>
        <s v="外国人"/>
        <s v="国内游客"/>
        <s v="台湾同胞"/>
        <s v="港澳同胞"/>
      </sharedItems>
    </cacheField>
    <cacheField name="organization" numFmtId="0">
      <sharedItems count="2">
        <s v="零散游客"/>
        <s v="团体游客"/>
      </sharedItems>
    </cacheField>
    <cacheField name="education_level" numFmtId="0">
      <sharedItems count="6">
        <s v="本科"/>
        <s v="其他"/>
        <s v="硕士及以上"/>
        <s v="大专"/>
        <s v="高中"/>
        <s v="初中"/>
      </sharedItems>
    </cacheField>
    <cacheField name="pay_method" numFmtId="0">
      <sharedItems count="6">
        <s v="线下团购"/>
        <s v="线上团购"/>
        <s v="旅游年卡"/>
        <s v="现金"/>
        <s v="微信"/>
        <s v="支付宝"/>
      </sharedItems>
    </cacheField>
    <cacheField name="discount" numFmtId="0">
      <sharedItems containsSemiMixedTypes="0" containsString="0" containsNumber="1" minValue="0" maxValue="0.9" count="4">
        <n v="0.9"/>
        <n v="0.85"/>
        <n v="0.6"/>
        <n v="0"/>
      </sharedItems>
    </cacheField>
    <cacheField name="date" numFmtId="14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9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0"/>
    <x v="0"/>
    <x v="0"/>
    <x v="1"/>
    <x v="1"/>
    <x v="0"/>
  </r>
  <r>
    <x v="2"/>
    <x v="2"/>
    <x v="0"/>
    <x v="2"/>
    <x v="1"/>
    <x v="2"/>
    <x v="1"/>
    <x v="2"/>
    <x v="1"/>
    <x v="0"/>
    <x v="1"/>
    <x v="0"/>
    <x v="0"/>
    <x v="0"/>
  </r>
  <r>
    <x v="3"/>
    <x v="3"/>
    <x v="1"/>
    <x v="1"/>
    <x v="2"/>
    <x v="3"/>
    <x v="2"/>
    <x v="1"/>
    <x v="2"/>
    <x v="0"/>
    <x v="2"/>
    <x v="2"/>
    <x v="2"/>
    <x v="0"/>
  </r>
  <r>
    <x v="4"/>
    <x v="4"/>
    <x v="1"/>
    <x v="3"/>
    <x v="0"/>
    <x v="4"/>
    <x v="1"/>
    <x v="2"/>
    <x v="2"/>
    <x v="0"/>
    <x v="2"/>
    <x v="2"/>
    <x v="2"/>
    <x v="0"/>
  </r>
  <r>
    <x v="5"/>
    <x v="5"/>
    <x v="1"/>
    <x v="4"/>
    <x v="1"/>
    <x v="5"/>
    <x v="3"/>
    <x v="1"/>
    <x v="3"/>
    <x v="0"/>
    <x v="3"/>
    <x v="1"/>
    <x v="1"/>
    <x v="0"/>
  </r>
  <r>
    <x v="6"/>
    <x v="6"/>
    <x v="2"/>
    <x v="5"/>
    <x v="2"/>
    <x v="6"/>
    <x v="0"/>
    <x v="0"/>
    <x v="3"/>
    <x v="0"/>
    <x v="0"/>
    <x v="0"/>
    <x v="0"/>
    <x v="0"/>
  </r>
  <r>
    <x v="7"/>
    <x v="7"/>
    <x v="1"/>
    <x v="6"/>
    <x v="2"/>
    <x v="7"/>
    <x v="2"/>
    <x v="3"/>
    <x v="4"/>
    <x v="1"/>
    <x v="4"/>
    <x v="0"/>
    <x v="0"/>
    <x v="0"/>
  </r>
  <r>
    <x v="8"/>
    <x v="8"/>
    <x v="0"/>
    <x v="2"/>
    <x v="2"/>
    <x v="8"/>
    <x v="2"/>
    <x v="0"/>
    <x v="4"/>
    <x v="1"/>
    <x v="1"/>
    <x v="2"/>
    <x v="2"/>
    <x v="0"/>
  </r>
  <r>
    <x v="9"/>
    <x v="9"/>
    <x v="1"/>
    <x v="5"/>
    <x v="2"/>
    <x v="9"/>
    <x v="4"/>
    <x v="3"/>
    <x v="0"/>
    <x v="0"/>
    <x v="4"/>
    <x v="3"/>
    <x v="3"/>
    <x v="0"/>
  </r>
  <r>
    <x v="10"/>
    <x v="10"/>
    <x v="1"/>
    <x v="7"/>
    <x v="1"/>
    <x v="10"/>
    <x v="0"/>
    <x v="4"/>
    <x v="1"/>
    <x v="0"/>
    <x v="0"/>
    <x v="4"/>
    <x v="3"/>
    <x v="0"/>
  </r>
  <r>
    <x v="11"/>
    <x v="11"/>
    <x v="1"/>
    <x v="8"/>
    <x v="2"/>
    <x v="11"/>
    <x v="0"/>
    <x v="5"/>
    <x v="2"/>
    <x v="0"/>
    <x v="3"/>
    <x v="0"/>
    <x v="0"/>
    <x v="0"/>
  </r>
  <r>
    <x v="12"/>
    <x v="12"/>
    <x v="1"/>
    <x v="8"/>
    <x v="2"/>
    <x v="12"/>
    <x v="0"/>
    <x v="5"/>
    <x v="1"/>
    <x v="0"/>
    <x v="3"/>
    <x v="0"/>
    <x v="0"/>
    <x v="0"/>
  </r>
  <r>
    <x v="13"/>
    <x v="13"/>
    <x v="0"/>
    <x v="4"/>
    <x v="2"/>
    <x v="13"/>
    <x v="2"/>
    <x v="6"/>
    <x v="1"/>
    <x v="0"/>
    <x v="1"/>
    <x v="2"/>
    <x v="2"/>
    <x v="0"/>
  </r>
  <r>
    <x v="14"/>
    <x v="14"/>
    <x v="1"/>
    <x v="0"/>
    <x v="0"/>
    <x v="14"/>
    <x v="2"/>
    <x v="1"/>
    <x v="1"/>
    <x v="0"/>
    <x v="1"/>
    <x v="2"/>
    <x v="2"/>
    <x v="0"/>
  </r>
  <r>
    <x v="15"/>
    <x v="15"/>
    <x v="1"/>
    <x v="4"/>
    <x v="2"/>
    <x v="15"/>
    <x v="0"/>
    <x v="1"/>
    <x v="0"/>
    <x v="0"/>
    <x v="5"/>
    <x v="3"/>
    <x v="3"/>
    <x v="0"/>
  </r>
  <r>
    <x v="16"/>
    <x v="16"/>
    <x v="0"/>
    <x v="9"/>
    <x v="2"/>
    <x v="16"/>
    <x v="1"/>
    <x v="2"/>
    <x v="3"/>
    <x v="0"/>
    <x v="1"/>
    <x v="2"/>
    <x v="2"/>
    <x v="0"/>
  </r>
  <r>
    <x v="17"/>
    <x v="17"/>
    <x v="1"/>
    <x v="9"/>
    <x v="1"/>
    <x v="17"/>
    <x v="2"/>
    <x v="0"/>
    <x v="3"/>
    <x v="0"/>
    <x v="1"/>
    <x v="3"/>
    <x v="3"/>
    <x v="0"/>
  </r>
  <r>
    <x v="18"/>
    <x v="18"/>
    <x v="1"/>
    <x v="4"/>
    <x v="2"/>
    <x v="18"/>
    <x v="1"/>
    <x v="6"/>
    <x v="4"/>
    <x v="0"/>
    <x v="1"/>
    <x v="3"/>
    <x v="3"/>
    <x v="0"/>
  </r>
  <r>
    <x v="19"/>
    <x v="19"/>
    <x v="0"/>
    <x v="0"/>
    <x v="0"/>
    <x v="19"/>
    <x v="3"/>
    <x v="2"/>
    <x v="1"/>
    <x v="0"/>
    <x v="5"/>
    <x v="1"/>
    <x v="1"/>
    <x v="0"/>
  </r>
  <r>
    <x v="20"/>
    <x v="20"/>
    <x v="1"/>
    <x v="10"/>
    <x v="0"/>
    <x v="20"/>
    <x v="4"/>
    <x v="6"/>
    <x v="4"/>
    <x v="1"/>
    <x v="0"/>
    <x v="5"/>
    <x v="3"/>
    <x v="0"/>
  </r>
  <r>
    <x v="21"/>
    <x v="21"/>
    <x v="0"/>
    <x v="5"/>
    <x v="0"/>
    <x v="21"/>
    <x v="2"/>
    <x v="1"/>
    <x v="0"/>
    <x v="0"/>
    <x v="0"/>
    <x v="4"/>
    <x v="3"/>
    <x v="0"/>
  </r>
  <r>
    <x v="22"/>
    <x v="22"/>
    <x v="1"/>
    <x v="2"/>
    <x v="0"/>
    <x v="22"/>
    <x v="0"/>
    <x v="4"/>
    <x v="1"/>
    <x v="0"/>
    <x v="4"/>
    <x v="4"/>
    <x v="3"/>
    <x v="0"/>
  </r>
  <r>
    <x v="23"/>
    <x v="6"/>
    <x v="2"/>
    <x v="5"/>
    <x v="2"/>
    <x v="23"/>
    <x v="0"/>
    <x v="3"/>
    <x v="2"/>
    <x v="0"/>
    <x v="0"/>
    <x v="3"/>
    <x v="3"/>
    <x v="0"/>
  </r>
  <r>
    <x v="24"/>
    <x v="23"/>
    <x v="0"/>
    <x v="10"/>
    <x v="2"/>
    <x v="24"/>
    <x v="4"/>
    <x v="2"/>
    <x v="0"/>
    <x v="1"/>
    <x v="3"/>
    <x v="5"/>
    <x v="3"/>
    <x v="0"/>
  </r>
  <r>
    <x v="25"/>
    <x v="24"/>
    <x v="1"/>
    <x v="5"/>
    <x v="2"/>
    <x v="25"/>
    <x v="1"/>
    <x v="6"/>
    <x v="4"/>
    <x v="1"/>
    <x v="1"/>
    <x v="1"/>
    <x v="1"/>
    <x v="0"/>
  </r>
  <r>
    <x v="26"/>
    <x v="25"/>
    <x v="1"/>
    <x v="9"/>
    <x v="2"/>
    <x v="26"/>
    <x v="0"/>
    <x v="0"/>
    <x v="2"/>
    <x v="0"/>
    <x v="0"/>
    <x v="0"/>
    <x v="0"/>
    <x v="0"/>
  </r>
  <r>
    <x v="27"/>
    <x v="26"/>
    <x v="1"/>
    <x v="0"/>
    <x v="0"/>
    <x v="27"/>
    <x v="0"/>
    <x v="6"/>
    <x v="0"/>
    <x v="0"/>
    <x v="2"/>
    <x v="2"/>
    <x v="2"/>
    <x v="0"/>
  </r>
  <r>
    <x v="28"/>
    <x v="21"/>
    <x v="0"/>
    <x v="5"/>
    <x v="0"/>
    <x v="28"/>
    <x v="1"/>
    <x v="5"/>
    <x v="2"/>
    <x v="0"/>
    <x v="1"/>
    <x v="2"/>
    <x v="2"/>
    <x v="0"/>
  </r>
  <r>
    <x v="29"/>
    <x v="27"/>
    <x v="1"/>
    <x v="1"/>
    <x v="0"/>
    <x v="29"/>
    <x v="1"/>
    <x v="2"/>
    <x v="1"/>
    <x v="0"/>
    <x v="1"/>
    <x v="4"/>
    <x v="3"/>
    <x v="0"/>
  </r>
  <r>
    <x v="30"/>
    <x v="28"/>
    <x v="0"/>
    <x v="1"/>
    <x v="0"/>
    <x v="30"/>
    <x v="3"/>
    <x v="6"/>
    <x v="1"/>
    <x v="1"/>
    <x v="5"/>
    <x v="4"/>
    <x v="3"/>
    <x v="0"/>
  </r>
  <r>
    <x v="31"/>
    <x v="29"/>
    <x v="1"/>
    <x v="8"/>
    <x v="1"/>
    <x v="31"/>
    <x v="1"/>
    <x v="3"/>
    <x v="4"/>
    <x v="0"/>
    <x v="2"/>
    <x v="0"/>
    <x v="0"/>
    <x v="0"/>
  </r>
  <r>
    <x v="32"/>
    <x v="30"/>
    <x v="0"/>
    <x v="5"/>
    <x v="1"/>
    <x v="32"/>
    <x v="1"/>
    <x v="2"/>
    <x v="1"/>
    <x v="1"/>
    <x v="5"/>
    <x v="3"/>
    <x v="3"/>
    <x v="0"/>
  </r>
  <r>
    <x v="33"/>
    <x v="31"/>
    <x v="1"/>
    <x v="5"/>
    <x v="0"/>
    <x v="33"/>
    <x v="2"/>
    <x v="1"/>
    <x v="4"/>
    <x v="1"/>
    <x v="4"/>
    <x v="4"/>
    <x v="3"/>
    <x v="0"/>
  </r>
  <r>
    <x v="34"/>
    <x v="32"/>
    <x v="0"/>
    <x v="5"/>
    <x v="0"/>
    <x v="34"/>
    <x v="1"/>
    <x v="3"/>
    <x v="2"/>
    <x v="1"/>
    <x v="2"/>
    <x v="2"/>
    <x v="2"/>
    <x v="0"/>
  </r>
  <r>
    <x v="35"/>
    <x v="33"/>
    <x v="1"/>
    <x v="8"/>
    <x v="1"/>
    <x v="35"/>
    <x v="3"/>
    <x v="0"/>
    <x v="0"/>
    <x v="0"/>
    <x v="4"/>
    <x v="4"/>
    <x v="3"/>
    <x v="0"/>
  </r>
  <r>
    <x v="36"/>
    <x v="34"/>
    <x v="1"/>
    <x v="3"/>
    <x v="2"/>
    <x v="36"/>
    <x v="4"/>
    <x v="6"/>
    <x v="3"/>
    <x v="1"/>
    <x v="1"/>
    <x v="3"/>
    <x v="3"/>
    <x v="0"/>
  </r>
  <r>
    <x v="37"/>
    <x v="35"/>
    <x v="0"/>
    <x v="7"/>
    <x v="2"/>
    <x v="37"/>
    <x v="3"/>
    <x v="1"/>
    <x v="3"/>
    <x v="0"/>
    <x v="5"/>
    <x v="4"/>
    <x v="3"/>
    <x v="0"/>
  </r>
  <r>
    <x v="38"/>
    <x v="36"/>
    <x v="1"/>
    <x v="2"/>
    <x v="0"/>
    <x v="38"/>
    <x v="4"/>
    <x v="3"/>
    <x v="4"/>
    <x v="0"/>
    <x v="1"/>
    <x v="2"/>
    <x v="2"/>
    <x v="0"/>
  </r>
  <r>
    <x v="39"/>
    <x v="37"/>
    <x v="1"/>
    <x v="8"/>
    <x v="1"/>
    <x v="39"/>
    <x v="0"/>
    <x v="1"/>
    <x v="1"/>
    <x v="0"/>
    <x v="2"/>
    <x v="4"/>
    <x v="3"/>
    <x v="0"/>
  </r>
  <r>
    <x v="40"/>
    <x v="38"/>
    <x v="1"/>
    <x v="5"/>
    <x v="2"/>
    <x v="40"/>
    <x v="0"/>
    <x v="6"/>
    <x v="4"/>
    <x v="0"/>
    <x v="0"/>
    <x v="0"/>
    <x v="0"/>
    <x v="0"/>
  </r>
  <r>
    <x v="41"/>
    <x v="39"/>
    <x v="1"/>
    <x v="0"/>
    <x v="0"/>
    <x v="41"/>
    <x v="3"/>
    <x v="2"/>
    <x v="2"/>
    <x v="1"/>
    <x v="1"/>
    <x v="3"/>
    <x v="3"/>
    <x v="0"/>
  </r>
  <r>
    <x v="42"/>
    <x v="40"/>
    <x v="1"/>
    <x v="0"/>
    <x v="2"/>
    <x v="42"/>
    <x v="0"/>
    <x v="6"/>
    <x v="4"/>
    <x v="0"/>
    <x v="5"/>
    <x v="3"/>
    <x v="3"/>
    <x v="0"/>
  </r>
  <r>
    <x v="43"/>
    <x v="41"/>
    <x v="1"/>
    <x v="8"/>
    <x v="2"/>
    <x v="43"/>
    <x v="0"/>
    <x v="4"/>
    <x v="2"/>
    <x v="0"/>
    <x v="2"/>
    <x v="0"/>
    <x v="0"/>
    <x v="0"/>
  </r>
  <r>
    <x v="44"/>
    <x v="42"/>
    <x v="1"/>
    <x v="8"/>
    <x v="1"/>
    <x v="44"/>
    <x v="2"/>
    <x v="6"/>
    <x v="1"/>
    <x v="0"/>
    <x v="4"/>
    <x v="5"/>
    <x v="3"/>
    <x v="0"/>
  </r>
  <r>
    <x v="45"/>
    <x v="43"/>
    <x v="1"/>
    <x v="2"/>
    <x v="2"/>
    <x v="45"/>
    <x v="1"/>
    <x v="4"/>
    <x v="0"/>
    <x v="0"/>
    <x v="3"/>
    <x v="4"/>
    <x v="3"/>
    <x v="0"/>
  </r>
  <r>
    <x v="46"/>
    <x v="44"/>
    <x v="1"/>
    <x v="4"/>
    <x v="0"/>
    <x v="46"/>
    <x v="1"/>
    <x v="2"/>
    <x v="3"/>
    <x v="1"/>
    <x v="1"/>
    <x v="2"/>
    <x v="2"/>
    <x v="0"/>
  </r>
  <r>
    <x v="47"/>
    <x v="45"/>
    <x v="0"/>
    <x v="5"/>
    <x v="0"/>
    <x v="47"/>
    <x v="1"/>
    <x v="6"/>
    <x v="1"/>
    <x v="0"/>
    <x v="3"/>
    <x v="3"/>
    <x v="3"/>
    <x v="0"/>
  </r>
  <r>
    <x v="48"/>
    <x v="46"/>
    <x v="0"/>
    <x v="5"/>
    <x v="2"/>
    <x v="48"/>
    <x v="3"/>
    <x v="5"/>
    <x v="4"/>
    <x v="0"/>
    <x v="4"/>
    <x v="5"/>
    <x v="3"/>
    <x v="0"/>
  </r>
  <r>
    <x v="49"/>
    <x v="47"/>
    <x v="1"/>
    <x v="4"/>
    <x v="2"/>
    <x v="49"/>
    <x v="1"/>
    <x v="0"/>
    <x v="3"/>
    <x v="0"/>
    <x v="3"/>
    <x v="4"/>
    <x v="3"/>
    <x v="0"/>
  </r>
  <r>
    <x v="50"/>
    <x v="48"/>
    <x v="0"/>
    <x v="0"/>
    <x v="0"/>
    <x v="50"/>
    <x v="3"/>
    <x v="4"/>
    <x v="0"/>
    <x v="1"/>
    <x v="1"/>
    <x v="4"/>
    <x v="3"/>
    <x v="0"/>
  </r>
  <r>
    <x v="51"/>
    <x v="49"/>
    <x v="1"/>
    <x v="5"/>
    <x v="0"/>
    <x v="51"/>
    <x v="3"/>
    <x v="2"/>
    <x v="3"/>
    <x v="1"/>
    <x v="2"/>
    <x v="5"/>
    <x v="3"/>
    <x v="0"/>
  </r>
  <r>
    <x v="52"/>
    <x v="50"/>
    <x v="1"/>
    <x v="8"/>
    <x v="0"/>
    <x v="52"/>
    <x v="0"/>
    <x v="3"/>
    <x v="1"/>
    <x v="0"/>
    <x v="0"/>
    <x v="0"/>
    <x v="0"/>
    <x v="0"/>
  </r>
  <r>
    <x v="53"/>
    <x v="51"/>
    <x v="0"/>
    <x v="6"/>
    <x v="1"/>
    <x v="53"/>
    <x v="3"/>
    <x v="6"/>
    <x v="2"/>
    <x v="0"/>
    <x v="3"/>
    <x v="4"/>
    <x v="3"/>
    <x v="0"/>
  </r>
  <r>
    <x v="54"/>
    <x v="32"/>
    <x v="0"/>
    <x v="5"/>
    <x v="0"/>
    <x v="54"/>
    <x v="0"/>
    <x v="6"/>
    <x v="3"/>
    <x v="0"/>
    <x v="2"/>
    <x v="0"/>
    <x v="0"/>
    <x v="0"/>
  </r>
  <r>
    <x v="55"/>
    <x v="52"/>
    <x v="1"/>
    <x v="5"/>
    <x v="2"/>
    <x v="55"/>
    <x v="0"/>
    <x v="0"/>
    <x v="3"/>
    <x v="0"/>
    <x v="0"/>
    <x v="1"/>
    <x v="1"/>
    <x v="0"/>
  </r>
  <r>
    <x v="56"/>
    <x v="39"/>
    <x v="1"/>
    <x v="0"/>
    <x v="0"/>
    <x v="56"/>
    <x v="3"/>
    <x v="2"/>
    <x v="4"/>
    <x v="0"/>
    <x v="4"/>
    <x v="5"/>
    <x v="3"/>
    <x v="0"/>
  </r>
  <r>
    <x v="57"/>
    <x v="53"/>
    <x v="1"/>
    <x v="8"/>
    <x v="2"/>
    <x v="57"/>
    <x v="1"/>
    <x v="6"/>
    <x v="1"/>
    <x v="0"/>
    <x v="1"/>
    <x v="0"/>
    <x v="0"/>
    <x v="0"/>
  </r>
  <r>
    <x v="58"/>
    <x v="54"/>
    <x v="1"/>
    <x v="8"/>
    <x v="2"/>
    <x v="58"/>
    <x v="0"/>
    <x v="1"/>
    <x v="1"/>
    <x v="0"/>
    <x v="1"/>
    <x v="5"/>
    <x v="3"/>
    <x v="0"/>
  </r>
  <r>
    <x v="59"/>
    <x v="55"/>
    <x v="0"/>
    <x v="10"/>
    <x v="2"/>
    <x v="59"/>
    <x v="0"/>
    <x v="2"/>
    <x v="2"/>
    <x v="0"/>
    <x v="1"/>
    <x v="5"/>
    <x v="3"/>
    <x v="0"/>
  </r>
  <r>
    <x v="60"/>
    <x v="56"/>
    <x v="1"/>
    <x v="5"/>
    <x v="2"/>
    <x v="60"/>
    <x v="1"/>
    <x v="4"/>
    <x v="0"/>
    <x v="1"/>
    <x v="5"/>
    <x v="4"/>
    <x v="3"/>
    <x v="0"/>
  </r>
  <r>
    <x v="61"/>
    <x v="57"/>
    <x v="1"/>
    <x v="0"/>
    <x v="2"/>
    <x v="61"/>
    <x v="0"/>
    <x v="3"/>
    <x v="0"/>
    <x v="0"/>
    <x v="4"/>
    <x v="5"/>
    <x v="3"/>
    <x v="0"/>
  </r>
  <r>
    <x v="62"/>
    <x v="22"/>
    <x v="1"/>
    <x v="2"/>
    <x v="0"/>
    <x v="62"/>
    <x v="1"/>
    <x v="5"/>
    <x v="1"/>
    <x v="1"/>
    <x v="4"/>
    <x v="1"/>
    <x v="1"/>
    <x v="0"/>
  </r>
  <r>
    <x v="63"/>
    <x v="58"/>
    <x v="1"/>
    <x v="5"/>
    <x v="0"/>
    <x v="63"/>
    <x v="4"/>
    <x v="6"/>
    <x v="3"/>
    <x v="1"/>
    <x v="3"/>
    <x v="1"/>
    <x v="1"/>
    <x v="0"/>
  </r>
  <r>
    <x v="64"/>
    <x v="59"/>
    <x v="1"/>
    <x v="4"/>
    <x v="0"/>
    <x v="64"/>
    <x v="0"/>
    <x v="0"/>
    <x v="4"/>
    <x v="0"/>
    <x v="4"/>
    <x v="2"/>
    <x v="2"/>
    <x v="0"/>
  </r>
  <r>
    <x v="65"/>
    <x v="60"/>
    <x v="0"/>
    <x v="4"/>
    <x v="2"/>
    <x v="65"/>
    <x v="0"/>
    <x v="0"/>
    <x v="1"/>
    <x v="0"/>
    <x v="0"/>
    <x v="4"/>
    <x v="3"/>
    <x v="0"/>
  </r>
  <r>
    <x v="66"/>
    <x v="30"/>
    <x v="0"/>
    <x v="5"/>
    <x v="1"/>
    <x v="66"/>
    <x v="0"/>
    <x v="3"/>
    <x v="2"/>
    <x v="0"/>
    <x v="2"/>
    <x v="3"/>
    <x v="3"/>
    <x v="0"/>
  </r>
  <r>
    <x v="67"/>
    <x v="61"/>
    <x v="1"/>
    <x v="8"/>
    <x v="0"/>
    <x v="67"/>
    <x v="1"/>
    <x v="0"/>
    <x v="0"/>
    <x v="1"/>
    <x v="5"/>
    <x v="5"/>
    <x v="3"/>
    <x v="0"/>
  </r>
  <r>
    <x v="68"/>
    <x v="62"/>
    <x v="1"/>
    <x v="6"/>
    <x v="0"/>
    <x v="68"/>
    <x v="3"/>
    <x v="1"/>
    <x v="2"/>
    <x v="0"/>
    <x v="4"/>
    <x v="5"/>
    <x v="3"/>
    <x v="0"/>
  </r>
  <r>
    <x v="69"/>
    <x v="63"/>
    <x v="1"/>
    <x v="6"/>
    <x v="0"/>
    <x v="69"/>
    <x v="4"/>
    <x v="3"/>
    <x v="2"/>
    <x v="0"/>
    <x v="0"/>
    <x v="1"/>
    <x v="1"/>
    <x v="0"/>
  </r>
  <r>
    <x v="70"/>
    <x v="64"/>
    <x v="1"/>
    <x v="5"/>
    <x v="0"/>
    <x v="70"/>
    <x v="2"/>
    <x v="2"/>
    <x v="0"/>
    <x v="0"/>
    <x v="5"/>
    <x v="2"/>
    <x v="2"/>
    <x v="0"/>
  </r>
  <r>
    <x v="71"/>
    <x v="65"/>
    <x v="0"/>
    <x v="2"/>
    <x v="0"/>
    <x v="71"/>
    <x v="2"/>
    <x v="2"/>
    <x v="2"/>
    <x v="0"/>
    <x v="0"/>
    <x v="2"/>
    <x v="2"/>
    <x v="0"/>
  </r>
  <r>
    <x v="72"/>
    <x v="49"/>
    <x v="1"/>
    <x v="5"/>
    <x v="0"/>
    <x v="72"/>
    <x v="1"/>
    <x v="6"/>
    <x v="3"/>
    <x v="1"/>
    <x v="5"/>
    <x v="3"/>
    <x v="3"/>
    <x v="0"/>
  </r>
  <r>
    <x v="73"/>
    <x v="66"/>
    <x v="1"/>
    <x v="0"/>
    <x v="2"/>
    <x v="73"/>
    <x v="1"/>
    <x v="4"/>
    <x v="2"/>
    <x v="1"/>
    <x v="1"/>
    <x v="3"/>
    <x v="3"/>
    <x v="0"/>
  </r>
  <r>
    <x v="74"/>
    <x v="67"/>
    <x v="1"/>
    <x v="1"/>
    <x v="0"/>
    <x v="74"/>
    <x v="2"/>
    <x v="5"/>
    <x v="0"/>
    <x v="1"/>
    <x v="1"/>
    <x v="1"/>
    <x v="1"/>
    <x v="0"/>
  </r>
  <r>
    <x v="75"/>
    <x v="68"/>
    <x v="0"/>
    <x v="8"/>
    <x v="2"/>
    <x v="75"/>
    <x v="4"/>
    <x v="1"/>
    <x v="0"/>
    <x v="1"/>
    <x v="3"/>
    <x v="4"/>
    <x v="3"/>
    <x v="0"/>
  </r>
  <r>
    <x v="76"/>
    <x v="69"/>
    <x v="1"/>
    <x v="0"/>
    <x v="0"/>
    <x v="76"/>
    <x v="2"/>
    <x v="2"/>
    <x v="1"/>
    <x v="0"/>
    <x v="5"/>
    <x v="3"/>
    <x v="3"/>
    <x v="0"/>
  </r>
  <r>
    <x v="77"/>
    <x v="70"/>
    <x v="1"/>
    <x v="8"/>
    <x v="0"/>
    <x v="77"/>
    <x v="0"/>
    <x v="3"/>
    <x v="2"/>
    <x v="0"/>
    <x v="2"/>
    <x v="0"/>
    <x v="0"/>
    <x v="0"/>
  </r>
  <r>
    <x v="78"/>
    <x v="71"/>
    <x v="1"/>
    <x v="4"/>
    <x v="2"/>
    <x v="78"/>
    <x v="1"/>
    <x v="3"/>
    <x v="3"/>
    <x v="1"/>
    <x v="1"/>
    <x v="3"/>
    <x v="3"/>
    <x v="0"/>
  </r>
  <r>
    <x v="79"/>
    <x v="3"/>
    <x v="1"/>
    <x v="1"/>
    <x v="2"/>
    <x v="79"/>
    <x v="4"/>
    <x v="1"/>
    <x v="0"/>
    <x v="0"/>
    <x v="5"/>
    <x v="1"/>
    <x v="1"/>
    <x v="0"/>
  </r>
  <r>
    <x v="80"/>
    <x v="72"/>
    <x v="1"/>
    <x v="10"/>
    <x v="2"/>
    <x v="80"/>
    <x v="4"/>
    <x v="2"/>
    <x v="4"/>
    <x v="0"/>
    <x v="1"/>
    <x v="0"/>
    <x v="0"/>
    <x v="0"/>
  </r>
  <r>
    <x v="81"/>
    <x v="73"/>
    <x v="0"/>
    <x v="2"/>
    <x v="2"/>
    <x v="81"/>
    <x v="0"/>
    <x v="3"/>
    <x v="3"/>
    <x v="0"/>
    <x v="0"/>
    <x v="2"/>
    <x v="2"/>
    <x v="0"/>
  </r>
  <r>
    <x v="82"/>
    <x v="50"/>
    <x v="1"/>
    <x v="8"/>
    <x v="0"/>
    <x v="82"/>
    <x v="4"/>
    <x v="0"/>
    <x v="2"/>
    <x v="0"/>
    <x v="3"/>
    <x v="4"/>
    <x v="3"/>
    <x v="0"/>
  </r>
  <r>
    <x v="83"/>
    <x v="74"/>
    <x v="1"/>
    <x v="6"/>
    <x v="0"/>
    <x v="83"/>
    <x v="4"/>
    <x v="6"/>
    <x v="4"/>
    <x v="1"/>
    <x v="5"/>
    <x v="3"/>
    <x v="3"/>
    <x v="0"/>
  </r>
  <r>
    <x v="84"/>
    <x v="38"/>
    <x v="1"/>
    <x v="5"/>
    <x v="2"/>
    <x v="84"/>
    <x v="2"/>
    <x v="6"/>
    <x v="3"/>
    <x v="0"/>
    <x v="3"/>
    <x v="0"/>
    <x v="0"/>
    <x v="0"/>
  </r>
  <r>
    <x v="85"/>
    <x v="75"/>
    <x v="0"/>
    <x v="8"/>
    <x v="2"/>
    <x v="85"/>
    <x v="1"/>
    <x v="5"/>
    <x v="0"/>
    <x v="1"/>
    <x v="1"/>
    <x v="5"/>
    <x v="3"/>
    <x v="0"/>
  </r>
  <r>
    <x v="86"/>
    <x v="76"/>
    <x v="1"/>
    <x v="4"/>
    <x v="2"/>
    <x v="86"/>
    <x v="0"/>
    <x v="1"/>
    <x v="0"/>
    <x v="0"/>
    <x v="3"/>
    <x v="5"/>
    <x v="3"/>
    <x v="0"/>
  </r>
  <r>
    <x v="87"/>
    <x v="77"/>
    <x v="1"/>
    <x v="2"/>
    <x v="2"/>
    <x v="87"/>
    <x v="1"/>
    <x v="1"/>
    <x v="4"/>
    <x v="1"/>
    <x v="4"/>
    <x v="3"/>
    <x v="3"/>
    <x v="0"/>
  </r>
  <r>
    <x v="88"/>
    <x v="78"/>
    <x v="1"/>
    <x v="3"/>
    <x v="1"/>
    <x v="88"/>
    <x v="4"/>
    <x v="0"/>
    <x v="4"/>
    <x v="0"/>
    <x v="5"/>
    <x v="4"/>
    <x v="3"/>
    <x v="0"/>
  </r>
  <r>
    <x v="89"/>
    <x v="79"/>
    <x v="1"/>
    <x v="4"/>
    <x v="0"/>
    <x v="89"/>
    <x v="1"/>
    <x v="3"/>
    <x v="0"/>
    <x v="1"/>
    <x v="4"/>
    <x v="0"/>
    <x v="0"/>
    <x v="0"/>
  </r>
  <r>
    <x v="90"/>
    <x v="80"/>
    <x v="1"/>
    <x v="10"/>
    <x v="2"/>
    <x v="90"/>
    <x v="3"/>
    <x v="5"/>
    <x v="4"/>
    <x v="0"/>
    <x v="0"/>
    <x v="0"/>
    <x v="0"/>
    <x v="0"/>
  </r>
  <r>
    <x v="91"/>
    <x v="81"/>
    <x v="1"/>
    <x v="4"/>
    <x v="0"/>
    <x v="91"/>
    <x v="4"/>
    <x v="1"/>
    <x v="0"/>
    <x v="0"/>
    <x v="3"/>
    <x v="1"/>
    <x v="1"/>
    <x v="0"/>
  </r>
  <r>
    <x v="92"/>
    <x v="55"/>
    <x v="0"/>
    <x v="10"/>
    <x v="2"/>
    <x v="92"/>
    <x v="4"/>
    <x v="5"/>
    <x v="3"/>
    <x v="1"/>
    <x v="2"/>
    <x v="1"/>
    <x v="1"/>
    <x v="0"/>
  </r>
  <r>
    <x v="93"/>
    <x v="82"/>
    <x v="0"/>
    <x v="9"/>
    <x v="2"/>
    <x v="93"/>
    <x v="1"/>
    <x v="2"/>
    <x v="2"/>
    <x v="0"/>
    <x v="1"/>
    <x v="1"/>
    <x v="1"/>
    <x v="0"/>
  </r>
  <r>
    <x v="94"/>
    <x v="83"/>
    <x v="1"/>
    <x v="8"/>
    <x v="1"/>
    <x v="94"/>
    <x v="0"/>
    <x v="0"/>
    <x v="2"/>
    <x v="0"/>
    <x v="4"/>
    <x v="2"/>
    <x v="2"/>
    <x v="0"/>
  </r>
  <r>
    <x v="95"/>
    <x v="7"/>
    <x v="1"/>
    <x v="6"/>
    <x v="2"/>
    <x v="95"/>
    <x v="1"/>
    <x v="4"/>
    <x v="1"/>
    <x v="1"/>
    <x v="2"/>
    <x v="5"/>
    <x v="3"/>
    <x v="0"/>
  </r>
  <r>
    <x v="96"/>
    <x v="84"/>
    <x v="1"/>
    <x v="10"/>
    <x v="2"/>
    <x v="96"/>
    <x v="3"/>
    <x v="4"/>
    <x v="1"/>
    <x v="0"/>
    <x v="5"/>
    <x v="2"/>
    <x v="2"/>
    <x v="0"/>
  </r>
  <r>
    <x v="97"/>
    <x v="85"/>
    <x v="0"/>
    <x v="5"/>
    <x v="1"/>
    <x v="97"/>
    <x v="3"/>
    <x v="6"/>
    <x v="2"/>
    <x v="0"/>
    <x v="5"/>
    <x v="3"/>
    <x v="3"/>
    <x v="0"/>
  </r>
  <r>
    <x v="98"/>
    <x v="26"/>
    <x v="1"/>
    <x v="0"/>
    <x v="0"/>
    <x v="98"/>
    <x v="3"/>
    <x v="4"/>
    <x v="2"/>
    <x v="1"/>
    <x v="2"/>
    <x v="3"/>
    <x v="3"/>
    <x v="0"/>
  </r>
  <r>
    <x v="99"/>
    <x v="84"/>
    <x v="1"/>
    <x v="10"/>
    <x v="2"/>
    <x v="99"/>
    <x v="3"/>
    <x v="0"/>
    <x v="1"/>
    <x v="1"/>
    <x v="0"/>
    <x v="3"/>
    <x v="3"/>
    <x v="0"/>
  </r>
  <r>
    <x v="100"/>
    <x v="86"/>
    <x v="1"/>
    <x v="5"/>
    <x v="0"/>
    <x v="100"/>
    <x v="0"/>
    <x v="1"/>
    <x v="2"/>
    <x v="0"/>
    <x v="5"/>
    <x v="5"/>
    <x v="3"/>
    <x v="0"/>
  </r>
  <r>
    <x v="101"/>
    <x v="87"/>
    <x v="0"/>
    <x v="3"/>
    <x v="2"/>
    <x v="101"/>
    <x v="1"/>
    <x v="6"/>
    <x v="4"/>
    <x v="0"/>
    <x v="3"/>
    <x v="4"/>
    <x v="3"/>
    <x v="0"/>
  </r>
  <r>
    <x v="102"/>
    <x v="88"/>
    <x v="1"/>
    <x v="4"/>
    <x v="2"/>
    <x v="102"/>
    <x v="0"/>
    <x v="2"/>
    <x v="3"/>
    <x v="0"/>
    <x v="0"/>
    <x v="2"/>
    <x v="2"/>
    <x v="0"/>
  </r>
  <r>
    <x v="103"/>
    <x v="89"/>
    <x v="1"/>
    <x v="10"/>
    <x v="0"/>
    <x v="103"/>
    <x v="1"/>
    <x v="5"/>
    <x v="4"/>
    <x v="1"/>
    <x v="3"/>
    <x v="1"/>
    <x v="1"/>
    <x v="0"/>
  </r>
  <r>
    <x v="104"/>
    <x v="90"/>
    <x v="1"/>
    <x v="5"/>
    <x v="1"/>
    <x v="104"/>
    <x v="4"/>
    <x v="5"/>
    <x v="1"/>
    <x v="1"/>
    <x v="2"/>
    <x v="5"/>
    <x v="3"/>
    <x v="0"/>
  </r>
  <r>
    <x v="105"/>
    <x v="91"/>
    <x v="1"/>
    <x v="4"/>
    <x v="2"/>
    <x v="105"/>
    <x v="3"/>
    <x v="4"/>
    <x v="4"/>
    <x v="0"/>
    <x v="1"/>
    <x v="0"/>
    <x v="0"/>
    <x v="0"/>
  </r>
  <r>
    <x v="106"/>
    <x v="0"/>
    <x v="0"/>
    <x v="0"/>
    <x v="0"/>
    <x v="106"/>
    <x v="2"/>
    <x v="1"/>
    <x v="2"/>
    <x v="0"/>
    <x v="1"/>
    <x v="5"/>
    <x v="3"/>
    <x v="0"/>
  </r>
  <r>
    <x v="107"/>
    <x v="92"/>
    <x v="1"/>
    <x v="1"/>
    <x v="2"/>
    <x v="107"/>
    <x v="1"/>
    <x v="0"/>
    <x v="0"/>
    <x v="0"/>
    <x v="2"/>
    <x v="0"/>
    <x v="0"/>
    <x v="0"/>
  </r>
  <r>
    <x v="108"/>
    <x v="93"/>
    <x v="1"/>
    <x v="5"/>
    <x v="0"/>
    <x v="108"/>
    <x v="1"/>
    <x v="5"/>
    <x v="1"/>
    <x v="1"/>
    <x v="0"/>
    <x v="1"/>
    <x v="1"/>
    <x v="0"/>
  </r>
  <r>
    <x v="109"/>
    <x v="94"/>
    <x v="1"/>
    <x v="5"/>
    <x v="2"/>
    <x v="109"/>
    <x v="2"/>
    <x v="5"/>
    <x v="1"/>
    <x v="0"/>
    <x v="4"/>
    <x v="3"/>
    <x v="3"/>
    <x v="0"/>
  </r>
  <r>
    <x v="110"/>
    <x v="95"/>
    <x v="0"/>
    <x v="2"/>
    <x v="1"/>
    <x v="110"/>
    <x v="2"/>
    <x v="2"/>
    <x v="1"/>
    <x v="0"/>
    <x v="0"/>
    <x v="0"/>
    <x v="0"/>
    <x v="0"/>
  </r>
  <r>
    <x v="111"/>
    <x v="96"/>
    <x v="1"/>
    <x v="5"/>
    <x v="2"/>
    <x v="111"/>
    <x v="2"/>
    <x v="6"/>
    <x v="2"/>
    <x v="0"/>
    <x v="0"/>
    <x v="3"/>
    <x v="3"/>
    <x v="0"/>
  </r>
  <r>
    <x v="112"/>
    <x v="97"/>
    <x v="0"/>
    <x v="5"/>
    <x v="2"/>
    <x v="112"/>
    <x v="2"/>
    <x v="0"/>
    <x v="3"/>
    <x v="0"/>
    <x v="0"/>
    <x v="4"/>
    <x v="3"/>
    <x v="0"/>
  </r>
  <r>
    <x v="113"/>
    <x v="98"/>
    <x v="0"/>
    <x v="5"/>
    <x v="0"/>
    <x v="113"/>
    <x v="4"/>
    <x v="0"/>
    <x v="0"/>
    <x v="0"/>
    <x v="0"/>
    <x v="2"/>
    <x v="2"/>
    <x v="0"/>
  </r>
  <r>
    <x v="114"/>
    <x v="99"/>
    <x v="1"/>
    <x v="10"/>
    <x v="2"/>
    <x v="114"/>
    <x v="4"/>
    <x v="6"/>
    <x v="2"/>
    <x v="0"/>
    <x v="0"/>
    <x v="3"/>
    <x v="3"/>
    <x v="0"/>
  </r>
  <r>
    <x v="115"/>
    <x v="56"/>
    <x v="1"/>
    <x v="5"/>
    <x v="2"/>
    <x v="115"/>
    <x v="1"/>
    <x v="5"/>
    <x v="0"/>
    <x v="1"/>
    <x v="1"/>
    <x v="2"/>
    <x v="2"/>
    <x v="0"/>
  </r>
  <r>
    <x v="116"/>
    <x v="71"/>
    <x v="1"/>
    <x v="4"/>
    <x v="2"/>
    <x v="116"/>
    <x v="1"/>
    <x v="6"/>
    <x v="4"/>
    <x v="1"/>
    <x v="1"/>
    <x v="4"/>
    <x v="3"/>
    <x v="0"/>
  </r>
  <r>
    <x v="117"/>
    <x v="100"/>
    <x v="0"/>
    <x v="8"/>
    <x v="0"/>
    <x v="117"/>
    <x v="1"/>
    <x v="6"/>
    <x v="1"/>
    <x v="1"/>
    <x v="2"/>
    <x v="4"/>
    <x v="3"/>
    <x v="0"/>
  </r>
  <r>
    <x v="118"/>
    <x v="101"/>
    <x v="0"/>
    <x v="9"/>
    <x v="2"/>
    <x v="118"/>
    <x v="4"/>
    <x v="5"/>
    <x v="3"/>
    <x v="0"/>
    <x v="3"/>
    <x v="2"/>
    <x v="2"/>
    <x v="0"/>
  </r>
  <r>
    <x v="119"/>
    <x v="102"/>
    <x v="0"/>
    <x v="0"/>
    <x v="2"/>
    <x v="119"/>
    <x v="1"/>
    <x v="4"/>
    <x v="2"/>
    <x v="0"/>
    <x v="1"/>
    <x v="2"/>
    <x v="2"/>
    <x v="0"/>
  </r>
  <r>
    <x v="120"/>
    <x v="103"/>
    <x v="0"/>
    <x v="4"/>
    <x v="2"/>
    <x v="120"/>
    <x v="4"/>
    <x v="0"/>
    <x v="0"/>
    <x v="0"/>
    <x v="3"/>
    <x v="0"/>
    <x v="0"/>
    <x v="0"/>
  </r>
  <r>
    <x v="121"/>
    <x v="104"/>
    <x v="1"/>
    <x v="0"/>
    <x v="0"/>
    <x v="121"/>
    <x v="0"/>
    <x v="1"/>
    <x v="1"/>
    <x v="0"/>
    <x v="5"/>
    <x v="3"/>
    <x v="3"/>
    <x v="0"/>
  </r>
  <r>
    <x v="122"/>
    <x v="105"/>
    <x v="1"/>
    <x v="8"/>
    <x v="2"/>
    <x v="122"/>
    <x v="0"/>
    <x v="5"/>
    <x v="2"/>
    <x v="0"/>
    <x v="4"/>
    <x v="5"/>
    <x v="3"/>
    <x v="0"/>
  </r>
  <r>
    <x v="123"/>
    <x v="106"/>
    <x v="1"/>
    <x v="3"/>
    <x v="0"/>
    <x v="123"/>
    <x v="4"/>
    <x v="5"/>
    <x v="1"/>
    <x v="1"/>
    <x v="3"/>
    <x v="5"/>
    <x v="3"/>
    <x v="0"/>
  </r>
  <r>
    <x v="124"/>
    <x v="107"/>
    <x v="1"/>
    <x v="5"/>
    <x v="2"/>
    <x v="124"/>
    <x v="2"/>
    <x v="2"/>
    <x v="4"/>
    <x v="0"/>
    <x v="1"/>
    <x v="0"/>
    <x v="0"/>
    <x v="0"/>
  </r>
  <r>
    <x v="125"/>
    <x v="72"/>
    <x v="1"/>
    <x v="10"/>
    <x v="2"/>
    <x v="125"/>
    <x v="1"/>
    <x v="6"/>
    <x v="1"/>
    <x v="1"/>
    <x v="2"/>
    <x v="5"/>
    <x v="3"/>
    <x v="0"/>
  </r>
  <r>
    <x v="126"/>
    <x v="74"/>
    <x v="1"/>
    <x v="6"/>
    <x v="0"/>
    <x v="126"/>
    <x v="0"/>
    <x v="4"/>
    <x v="3"/>
    <x v="0"/>
    <x v="2"/>
    <x v="4"/>
    <x v="3"/>
    <x v="0"/>
  </r>
  <r>
    <x v="127"/>
    <x v="108"/>
    <x v="1"/>
    <x v="4"/>
    <x v="2"/>
    <x v="127"/>
    <x v="2"/>
    <x v="3"/>
    <x v="2"/>
    <x v="1"/>
    <x v="5"/>
    <x v="4"/>
    <x v="3"/>
    <x v="0"/>
  </r>
  <r>
    <x v="128"/>
    <x v="109"/>
    <x v="1"/>
    <x v="8"/>
    <x v="2"/>
    <x v="128"/>
    <x v="2"/>
    <x v="0"/>
    <x v="0"/>
    <x v="0"/>
    <x v="3"/>
    <x v="4"/>
    <x v="3"/>
    <x v="0"/>
  </r>
  <r>
    <x v="129"/>
    <x v="108"/>
    <x v="1"/>
    <x v="4"/>
    <x v="2"/>
    <x v="129"/>
    <x v="3"/>
    <x v="2"/>
    <x v="4"/>
    <x v="1"/>
    <x v="0"/>
    <x v="4"/>
    <x v="3"/>
    <x v="0"/>
  </r>
  <r>
    <x v="130"/>
    <x v="110"/>
    <x v="0"/>
    <x v="10"/>
    <x v="2"/>
    <x v="130"/>
    <x v="2"/>
    <x v="3"/>
    <x v="3"/>
    <x v="1"/>
    <x v="5"/>
    <x v="5"/>
    <x v="3"/>
    <x v="0"/>
  </r>
  <r>
    <x v="131"/>
    <x v="111"/>
    <x v="0"/>
    <x v="4"/>
    <x v="0"/>
    <x v="131"/>
    <x v="3"/>
    <x v="5"/>
    <x v="4"/>
    <x v="1"/>
    <x v="1"/>
    <x v="1"/>
    <x v="1"/>
    <x v="0"/>
  </r>
  <r>
    <x v="132"/>
    <x v="112"/>
    <x v="1"/>
    <x v="0"/>
    <x v="0"/>
    <x v="132"/>
    <x v="0"/>
    <x v="5"/>
    <x v="0"/>
    <x v="0"/>
    <x v="3"/>
    <x v="3"/>
    <x v="3"/>
    <x v="0"/>
  </r>
  <r>
    <x v="133"/>
    <x v="113"/>
    <x v="1"/>
    <x v="6"/>
    <x v="0"/>
    <x v="133"/>
    <x v="4"/>
    <x v="4"/>
    <x v="2"/>
    <x v="0"/>
    <x v="2"/>
    <x v="4"/>
    <x v="3"/>
    <x v="0"/>
  </r>
  <r>
    <x v="134"/>
    <x v="114"/>
    <x v="1"/>
    <x v="0"/>
    <x v="2"/>
    <x v="134"/>
    <x v="1"/>
    <x v="4"/>
    <x v="1"/>
    <x v="1"/>
    <x v="0"/>
    <x v="5"/>
    <x v="3"/>
    <x v="0"/>
  </r>
  <r>
    <x v="135"/>
    <x v="115"/>
    <x v="1"/>
    <x v="8"/>
    <x v="0"/>
    <x v="135"/>
    <x v="0"/>
    <x v="4"/>
    <x v="3"/>
    <x v="0"/>
    <x v="2"/>
    <x v="3"/>
    <x v="3"/>
    <x v="0"/>
  </r>
  <r>
    <x v="136"/>
    <x v="116"/>
    <x v="0"/>
    <x v="2"/>
    <x v="0"/>
    <x v="136"/>
    <x v="0"/>
    <x v="0"/>
    <x v="4"/>
    <x v="0"/>
    <x v="0"/>
    <x v="1"/>
    <x v="1"/>
    <x v="0"/>
  </r>
  <r>
    <x v="137"/>
    <x v="117"/>
    <x v="1"/>
    <x v="2"/>
    <x v="2"/>
    <x v="137"/>
    <x v="0"/>
    <x v="4"/>
    <x v="2"/>
    <x v="0"/>
    <x v="2"/>
    <x v="2"/>
    <x v="2"/>
    <x v="0"/>
  </r>
  <r>
    <x v="138"/>
    <x v="118"/>
    <x v="1"/>
    <x v="7"/>
    <x v="2"/>
    <x v="138"/>
    <x v="3"/>
    <x v="0"/>
    <x v="2"/>
    <x v="1"/>
    <x v="2"/>
    <x v="1"/>
    <x v="1"/>
    <x v="0"/>
  </r>
  <r>
    <x v="139"/>
    <x v="119"/>
    <x v="1"/>
    <x v="5"/>
    <x v="2"/>
    <x v="139"/>
    <x v="4"/>
    <x v="2"/>
    <x v="4"/>
    <x v="0"/>
    <x v="4"/>
    <x v="0"/>
    <x v="0"/>
    <x v="0"/>
  </r>
  <r>
    <x v="140"/>
    <x v="105"/>
    <x v="1"/>
    <x v="8"/>
    <x v="2"/>
    <x v="140"/>
    <x v="0"/>
    <x v="3"/>
    <x v="4"/>
    <x v="0"/>
    <x v="0"/>
    <x v="0"/>
    <x v="0"/>
    <x v="0"/>
  </r>
  <r>
    <x v="141"/>
    <x v="66"/>
    <x v="1"/>
    <x v="0"/>
    <x v="2"/>
    <x v="141"/>
    <x v="2"/>
    <x v="3"/>
    <x v="3"/>
    <x v="0"/>
    <x v="0"/>
    <x v="2"/>
    <x v="2"/>
    <x v="0"/>
  </r>
  <r>
    <x v="142"/>
    <x v="120"/>
    <x v="1"/>
    <x v="7"/>
    <x v="0"/>
    <x v="142"/>
    <x v="1"/>
    <x v="5"/>
    <x v="0"/>
    <x v="1"/>
    <x v="1"/>
    <x v="5"/>
    <x v="3"/>
    <x v="0"/>
  </r>
  <r>
    <x v="143"/>
    <x v="121"/>
    <x v="0"/>
    <x v="0"/>
    <x v="0"/>
    <x v="143"/>
    <x v="2"/>
    <x v="4"/>
    <x v="2"/>
    <x v="0"/>
    <x v="5"/>
    <x v="4"/>
    <x v="3"/>
    <x v="0"/>
  </r>
  <r>
    <x v="144"/>
    <x v="122"/>
    <x v="1"/>
    <x v="6"/>
    <x v="2"/>
    <x v="144"/>
    <x v="2"/>
    <x v="5"/>
    <x v="4"/>
    <x v="0"/>
    <x v="2"/>
    <x v="4"/>
    <x v="3"/>
    <x v="0"/>
  </r>
  <r>
    <x v="145"/>
    <x v="112"/>
    <x v="1"/>
    <x v="0"/>
    <x v="0"/>
    <x v="145"/>
    <x v="1"/>
    <x v="2"/>
    <x v="2"/>
    <x v="0"/>
    <x v="3"/>
    <x v="2"/>
    <x v="2"/>
    <x v="0"/>
  </r>
  <r>
    <x v="146"/>
    <x v="54"/>
    <x v="1"/>
    <x v="8"/>
    <x v="2"/>
    <x v="146"/>
    <x v="1"/>
    <x v="5"/>
    <x v="4"/>
    <x v="0"/>
    <x v="2"/>
    <x v="1"/>
    <x v="1"/>
    <x v="0"/>
  </r>
  <r>
    <x v="147"/>
    <x v="121"/>
    <x v="0"/>
    <x v="0"/>
    <x v="0"/>
    <x v="147"/>
    <x v="0"/>
    <x v="1"/>
    <x v="1"/>
    <x v="0"/>
    <x v="1"/>
    <x v="4"/>
    <x v="3"/>
    <x v="0"/>
  </r>
  <r>
    <x v="148"/>
    <x v="123"/>
    <x v="1"/>
    <x v="1"/>
    <x v="2"/>
    <x v="148"/>
    <x v="4"/>
    <x v="2"/>
    <x v="3"/>
    <x v="0"/>
    <x v="5"/>
    <x v="3"/>
    <x v="3"/>
    <x v="0"/>
  </r>
  <r>
    <x v="149"/>
    <x v="124"/>
    <x v="1"/>
    <x v="5"/>
    <x v="0"/>
    <x v="149"/>
    <x v="0"/>
    <x v="1"/>
    <x v="2"/>
    <x v="0"/>
    <x v="3"/>
    <x v="5"/>
    <x v="3"/>
    <x v="0"/>
  </r>
  <r>
    <x v="150"/>
    <x v="125"/>
    <x v="1"/>
    <x v="5"/>
    <x v="0"/>
    <x v="150"/>
    <x v="1"/>
    <x v="4"/>
    <x v="0"/>
    <x v="0"/>
    <x v="2"/>
    <x v="3"/>
    <x v="3"/>
    <x v="0"/>
  </r>
  <r>
    <x v="151"/>
    <x v="62"/>
    <x v="1"/>
    <x v="6"/>
    <x v="0"/>
    <x v="151"/>
    <x v="0"/>
    <x v="5"/>
    <x v="0"/>
    <x v="0"/>
    <x v="3"/>
    <x v="3"/>
    <x v="3"/>
    <x v="0"/>
  </r>
  <r>
    <x v="152"/>
    <x v="126"/>
    <x v="0"/>
    <x v="7"/>
    <x v="2"/>
    <x v="152"/>
    <x v="3"/>
    <x v="6"/>
    <x v="0"/>
    <x v="1"/>
    <x v="0"/>
    <x v="2"/>
    <x v="2"/>
    <x v="0"/>
  </r>
  <r>
    <x v="153"/>
    <x v="127"/>
    <x v="0"/>
    <x v="1"/>
    <x v="1"/>
    <x v="153"/>
    <x v="4"/>
    <x v="4"/>
    <x v="2"/>
    <x v="1"/>
    <x v="5"/>
    <x v="1"/>
    <x v="1"/>
    <x v="0"/>
  </r>
  <r>
    <x v="154"/>
    <x v="128"/>
    <x v="1"/>
    <x v="3"/>
    <x v="0"/>
    <x v="154"/>
    <x v="3"/>
    <x v="1"/>
    <x v="4"/>
    <x v="0"/>
    <x v="1"/>
    <x v="2"/>
    <x v="2"/>
    <x v="0"/>
  </r>
  <r>
    <x v="155"/>
    <x v="129"/>
    <x v="1"/>
    <x v="5"/>
    <x v="2"/>
    <x v="155"/>
    <x v="1"/>
    <x v="0"/>
    <x v="2"/>
    <x v="1"/>
    <x v="2"/>
    <x v="5"/>
    <x v="3"/>
    <x v="0"/>
  </r>
  <r>
    <x v="156"/>
    <x v="130"/>
    <x v="1"/>
    <x v="7"/>
    <x v="2"/>
    <x v="156"/>
    <x v="2"/>
    <x v="4"/>
    <x v="1"/>
    <x v="1"/>
    <x v="4"/>
    <x v="1"/>
    <x v="1"/>
    <x v="0"/>
  </r>
  <r>
    <x v="157"/>
    <x v="112"/>
    <x v="1"/>
    <x v="0"/>
    <x v="0"/>
    <x v="157"/>
    <x v="3"/>
    <x v="0"/>
    <x v="0"/>
    <x v="0"/>
    <x v="2"/>
    <x v="5"/>
    <x v="3"/>
    <x v="0"/>
  </r>
  <r>
    <x v="158"/>
    <x v="131"/>
    <x v="0"/>
    <x v="5"/>
    <x v="2"/>
    <x v="158"/>
    <x v="1"/>
    <x v="2"/>
    <x v="2"/>
    <x v="1"/>
    <x v="4"/>
    <x v="4"/>
    <x v="3"/>
    <x v="0"/>
  </r>
  <r>
    <x v="159"/>
    <x v="132"/>
    <x v="0"/>
    <x v="8"/>
    <x v="2"/>
    <x v="159"/>
    <x v="4"/>
    <x v="4"/>
    <x v="2"/>
    <x v="1"/>
    <x v="5"/>
    <x v="4"/>
    <x v="3"/>
    <x v="0"/>
  </r>
  <r>
    <x v="160"/>
    <x v="84"/>
    <x v="1"/>
    <x v="10"/>
    <x v="2"/>
    <x v="160"/>
    <x v="4"/>
    <x v="2"/>
    <x v="0"/>
    <x v="1"/>
    <x v="1"/>
    <x v="2"/>
    <x v="2"/>
    <x v="0"/>
  </r>
  <r>
    <x v="161"/>
    <x v="102"/>
    <x v="0"/>
    <x v="0"/>
    <x v="2"/>
    <x v="161"/>
    <x v="1"/>
    <x v="1"/>
    <x v="2"/>
    <x v="1"/>
    <x v="1"/>
    <x v="2"/>
    <x v="2"/>
    <x v="0"/>
  </r>
  <r>
    <x v="162"/>
    <x v="121"/>
    <x v="0"/>
    <x v="0"/>
    <x v="0"/>
    <x v="162"/>
    <x v="0"/>
    <x v="6"/>
    <x v="3"/>
    <x v="0"/>
    <x v="3"/>
    <x v="0"/>
    <x v="0"/>
    <x v="0"/>
  </r>
  <r>
    <x v="163"/>
    <x v="11"/>
    <x v="1"/>
    <x v="8"/>
    <x v="2"/>
    <x v="163"/>
    <x v="2"/>
    <x v="0"/>
    <x v="4"/>
    <x v="0"/>
    <x v="4"/>
    <x v="3"/>
    <x v="3"/>
    <x v="0"/>
  </r>
  <r>
    <x v="164"/>
    <x v="133"/>
    <x v="0"/>
    <x v="5"/>
    <x v="1"/>
    <x v="164"/>
    <x v="4"/>
    <x v="4"/>
    <x v="4"/>
    <x v="0"/>
    <x v="5"/>
    <x v="0"/>
    <x v="0"/>
    <x v="0"/>
  </r>
  <r>
    <x v="165"/>
    <x v="78"/>
    <x v="1"/>
    <x v="3"/>
    <x v="1"/>
    <x v="165"/>
    <x v="1"/>
    <x v="1"/>
    <x v="4"/>
    <x v="1"/>
    <x v="4"/>
    <x v="4"/>
    <x v="3"/>
    <x v="0"/>
  </r>
  <r>
    <x v="166"/>
    <x v="116"/>
    <x v="0"/>
    <x v="2"/>
    <x v="0"/>
    <x v="166"/>
    <x v="0"/>
    <x v="6"/>
    <x v="2"/>
    <x v="0"/>
    <x v="4"/>
    <x v="5"/>
    <x v="3"/>
    <x v="0"/>
  </r>
  <r>
    <x v="167"/>
    <x v="134"/>
    <x v="1"/>
    <x v="0"/>
    <x v="2"/>
    <x v="167"/>
    <x v="0"/>
    <x v="0"/>
    <x v="0"/>
    <x v="0"/>
    <x v="1"/>
    <x v="2"/>
    <x v="2"/>
    <x v="0"/>
  </r>
  <r>
    <x v="168"/>
    <x v="135"/>
    <x v="1"/>
    <x v="4"/>
    <x v="2"/>
    <x v="168"/>
    <x v="1"/>
    <x v="1"/>
    <x v="0"/>
    <x v="0"/>
    <x v="0"/>
    <x v="2"/>
    <x v="2"/>
    <x v="0"/>
  </r>
  <r>
    <x v="169"/>
    <x v="136"/>
    <x v="0"/>
    <x v="6"/>
    <x v="2"/>
    <x v="169"/>
    <x v="0"/>
    <x v="0"/>
    <x v="1"/>
    <x v="0"/>
    <x v="1"/>
    <x v="5"/>
    <x v="3"/>
    <x v="0"/>
  </r>
  <r>
    <x v="170"/>
    <x v="137"/>
    <x v="1"/>
    <x v="2"/>
    <x v="0"/>
    <x v="170"/>
    <x v="1"/>
    <x v="4"/>
    <x v="2"/>
    <x v="0"/>
    <x v="3"/>
    <x v="3"/>
    <x v="3"/>
    <x v="0"/>
  </r>
  <r>
    <x v="171"/>
    <x v="138"/>
    <x v="2"/>
    <x v="4"/>
    <x v="2"/>
    <x v="171"/>
    <x v="2"/>
    <x v="4"/>
    <x v="2"/>
    <x v="1"/>
    <x v="2"/>
    <x v="0"/>
    <x v="0"/>
    <x v="0"/>
  </r>
  <r>
    <x v="172"/>
    <x v="139"/>
    <x v="1"/>
    <x v="8"/>
    <x v="1"/>
    <x v="172"/>
    <x v="2"/>
    <x v="2"/>
    <x v="3"/>
    <x v="1"/>
    <x v="0"/>
    <x v="5"/>
    <x v="3"/>
    <x v="0"/>
  </r>
  <r>
    <x v="173"/>
    <x v="94"/>
    <x v="1"/>
    <x v="5"/>
    <x v="2"/>
    <x v="173"/>
    <x v="0"/>
    <x v="5"/>
    <x v="3"/>
    <x v="0"/>
    <x v="5"/>
    <x v="5"/>
    <x v="3"/>
    <x v="0"/>
  </r>
  <r>
    <x v="174"/>
    <x v="140"/>
    <x v="0"/>
    <x v="5"/>
    <x v="2"/>
    <x v="174"/>
    <x v="2"/>
    <x v="1"/>
    <x v="2"/>
    <x v="1"/>
    <x v="2"/>
    <x v="1"/>
    <x v="1"/>
    <x v="0"/>
  </r>
  <r>
    <x v="175"/>
    <x v="141"/>
    <x v="0"/>
    <x v="7"/>
    <x v="2"/>
    <x v="175"/>
    <x v="0"/>
    <x v="0"/>
    <x v="1"/>
    <x v="0"/>
    <x v="2"/>
    <x v="5"/>
    <x v="3"/>
    <x v="0"/>
  </r>
  <r>
    <x v="176"/>
    <x v="142"/>
    <x v="0"/>
    <x v="7"/>
    <x v="2"/>
    <x v="176"/>
    <x v="2"/>
    <x v="1"/>
    <x v="0"/>
    <x v="1"/>
    <x v="1"/>
    <x v="1"/>
    <x v="1"/>
    <x v="0"/>
  </r>
  <r>
    <x v="177"/>
    <x v="73"/>
    <x v="0"/>
    <x v="2"/>
    <x v="2"/>
    <x v="177"/>
    <x v="2"/>
    <x v="6"/>
    <x v="2"/>
    <x v="1"/>
    <x v="2"/>
    <x v="5"/>
    <x v="3"/>
    <x v="0"/>
  </r>
  <r>
    <x v="178"/>
    <x v="143"/>
    <x v="1"/>
    <x v="6"/>
    <x v="0"/>
    <x v="178"/>
    <x v="3"/>
    <x v="5"/>
    <x v="1"/>
    <x v="0"/>
    <x v="0"/>
    <x v="3"/>
    <x v="3"/>
    <x v="0"/>
  </r>
  <r>
    <x v="179"/>
    <x v="76"/>
    <x v="1"/>
    <x v="4"/>
    <x v="2"/>
    <x v="179"/>
    <x v="1"/>
    <x v="5"/>
    <x v="0"/>
    <x v="1"/>
    <x v="0"/>
    <x v="5"/>
    <x v="3"/>
    <x v="0"/>
  </r>
  <r>
    <x v="180"/>
    <x v="120"/>
    <x v="1"/>
    <x v="7"/>
    <x v="0"/>
    <x v="180"/>
    <x v="1"/>
    <x v="6"/>
    <x v="3"/>
    <x v="1"/>
    <x v="4"/>
    <x v="5"/>
    <x v="3"/>
    <x v="0"/>
  </r>
  <r>
    <x v="181"/>
    <x v="144"/>
    <x v="1"/>
    <x v="1"/>
    <x v="0"/>
    <x v="181"/>
    <x v="1"/>
    <x v="4"/>
    <x v="0"/>
    <x v="1"/>
    <x v="3"/>
    <x v="4"/>
    <x v="3"/>
    <x v="0"/>
  </r>
  <r>
    <x v="182"/>
    <x v="145"/>
    <x v="1"/>
    <x v="5"/>
    <x v="2"/>
    <x v="182"/>
    <x v="0"/>
    <x v="0"/>
    <x v="4"/>
    <x v="0"/>
    <x v="4"/>
    <x v="2"/>
    <x v="2"/>
    <x v="0"/>
  </r>
  <r>
    <x v="183"/>
    <x v="32"/>
    <x v="0"/>
    <x v="5"/>
    <x v="0"/>
    <x v="183"/>
    <x v="1"/>
    <x v="3"/>
    <x v="3"/>
    <x v="1"/>
    <x v="0"/>
    <x v="3"/>
    <x v="3"/>
    <x v="0"/>
  </r>
  <r>
    <x v="184"/>
    <x v="146"/>
    <x v="1"/>
    <x v="2"/>
    <x v="2"/>
    <x v="184"/>
    <x v="3"/>
    <x v="0"/>
    <x v="1"/>
    <x v="0"/>
    <x v="0"/>
    <x v="1"/>
    <x v="1"/>
    <x v="0"/>
  </r>
  <r>
    <x v="185"/>
    <x v="147"/>
    <x v="0"/>
    <x v="5"/>
    <x v="2"/>
    <x v="185"/>
    <x v="2"/>
    <x v="6"/>
    <x v="0"/>
    <x v="0"/>
    <x v="1"/>
    <x v="4"/>
    <x v="3"/>
    <x v="0"/>
  </r>
  <r>
    <x v="186"/>
    <x v="148"/>
    <x v="1"/>
    <x v="5"/>
    <x v="0"/>
    <x v="186"/>
    <x v="0"/>
    <x v="2"/>
    <x v="0"/>
    <x v="0"/>
    <x v="0"/>
    <x v="1"/>
    <x v="1"/>
    <x v="0"/>
  </r>
  <r>
    <x v="187"/>
    <x v="149"/>
    <x v="0"/>
    <x v="5"/>
    <x v="2"/>
    <x v="187"/>
    <x v="3"/>
    <x v="2"/>
    <x v="4"/>
    <x v="1"/>
    <x v="3"/>
    <x v="3"/>
    <x v="3"/>
    <x v="0"/>
  </r>
  <r>
    <x v="188"/>
    <x v="150"/>
    <x v="1"/>
    <x v="5"/>
    <x v="1"/>
    <x v="188"/>
    <x v="3"/>
    <x v="1"/>
    <x v="1"/>
    <x v="0"/>
    <x v="2"/>
    <x v="5"/>
    <x v="3"/>
    <x v="0"/>
  </r>
  <r>
    <x v="189"/>
    <x v="151"/>
    <x v="1"/>
    <x v="0"/>
    <x v="2"/>
    <x v="189"/>
    <x v="3"/>
    <x v="5"/>
    <x v="2"/>
    <x v="0"/>
    <x v="1"/>
    <x v="4"/>
    <x v="3"/>
    <x v="0"/>
  </r>
  <r>
    <x v="190"/>
    <x v="152"/>
    <x v="1"/>
    <x v="10"/>
    <x v="2"/>
    <x v="190"/>
    <x v="3"/>
    <x v="1"/>
    <x v="0"/>
    <x v="0"/>
    <x v="1"/>
    <x v="1"/>
    <x v="1"/>
    <x v="0"/>
  </r>
  <r>
    <x v="191"/>
    <x v="153"/>
    <x v="1"/>
    <x v="1"/>
    <x v="1"/>
    <x v="191"/>
    <x v="1"/>
    <x v="4"/>
    <x v="1"/>
    <x v="1"/>
    <x v="2"/>
    <x v="5"/>
    <x v="3"/>
    <x v="0"/>
  </r>
  <r>
    <x v="192"/>
    <x v="154"/>
    <x v="1"/>
    <x v="10"/>
    <x v="2"/>
    <x v="192"/>
    <x v="0"/>
    <x v="0"/>
    <x v="3"/>
    <x v="0"/>
    <x v="4"/>
    <x v="2"/>
    <x v="2"/>
    <x v="0"/>
  </r>
  <r>
    <x v="193"/>
    <x v="110"/>
    <x v="0"/>
    <x v="10"/>
    <x v="2"/>
    <x v="193"/>
    <x v="1"/>
    <x v="5"/>
    <x v="3"/>
    <x v="1"/>
    <x v="0"/>
    <x v="0"/>
    <x v="0"/>
    <x v="0"/>
  </r>
  <r>
    <x v="194"/>
    <x v="155"/>
    <x v="1"/>
    <x v="2"/>
    <x v="0"/>
    <x v="194"/>
    <x v="2"/>
    <x v="6"/>
    <x v="3"/>
    <x v="0"/>
    <x v="4"/>
    <x v="4"/>
    <x v="3"/>
    <x v="0"/>
  </r>
  <r>
    <x v="195"/>
    <x v="14"/>
    <x v="1"/>
    <x v="0"/>
    <x v="0"/>
    <x v="195"/>
    <x v="0"/>
    <x v="3"/>
    <x v="2"/>
    <x v="0"/>
    <x v="0"/>
    <x v="0"/>
    <x v="0"/>
    <x v="0"/>
  </r>
  <r>
    <x v="196"/>
    <x v="64"/>
    <x v="1"/>
    <x v="5"/>
    <x v="0"/>
    <x v="196"/>
    <x v="0"/>
    <x v="1"/>
    <x v="0"/>
    <x v="0"/>
    <x v="4"/>
    <x v="4"/>
    <x v="3"/>
    <x v="0"/>
  </r>
  <r>
    <x v="197"/>
    <x v="156"/>
    <x v="1"/>
    <x v="3"/>
    <x v="2"/>
    <x v="197"/>
    <x v="0"/>
    <x v="3"/>
    <x v="0"/>
    <x v="0"/>
    <x v="3"/>
    <x v="5"/>
    <x v="3"/>
    <x v="0"/>
  </r>
  <r>
    <x v="198"/>
    <x v="157"/>
    <x v="1"/>
    <x v="3"/>
    <x v="2"/>
    <x v="198"/>
    <x v="2"/>
    <x v="2"/>
    <x v="0"/>
    <x v="1"/>
    <x v="3"/>
    <x v="0"/>
    <x v="0"/>
    <x v="0"/>
  </r>
  <r>
    <x v="199"/>
    <x v="158"/>
    <x v="1"/>
    <x v="8"/>
    <x v="0"/>
    <x v="199"/>
    <x v="2"/>
    <x v="5"/>
    <x v="3"/>
    <x v="0"/>
    <x v="1"/>
    <x v="4"/>
    <x v="3"/>
    <x v="0"/>
  </r>
  <r>
    <x v="200"/>
    <x v="159"/>
    <x v="1"/>
    <x v="1"/>
    <x v="1"/>
    <x v="200"/>
    <x v="4"/>
    <x v="5"/>
    <x v="0"/>
    <x v="0"/>
    <x v="4"/>
    <x v="2"/>
    <x v="2"/>
    <x v="0"/>
  </r>
  <r>
    <x v="201"/>
    <x v="148"/>
    <x v="1"/>
    <x v="5"/>
    <x v="0"/>
    <x v="201"/>
    <x v="2"/>
    <x v="6"/>
    <x v="2"/>
    <x v="0"/>
    <x v="3"/>
    <x v="4"/>
    <x v="3"/>
    <x v="0"/>
  </r>
  <r>
    <x v="202"/>
    <x v="71"/>
    <x v="1"/>
    <x v="4"/>
    <x v="2"/>
    <x v="202"/>
    <x v="2"/>
    <x v="6"/>
    <x v="4"/>
    <x v="1"/>
    <x v="2"/>
    <x v="5"/>
    <x v="3"/>
    <x v="0"/>
  </r>
  <r>
    <x v="203"/>
    <x v="117"/>
    <x v="1"/>
    <x v="2"/>
    <x v="2"/>
    <x v="203"/>
    <x v="0"/>
    <x v="5"/>
    <x v="4"/>
    <x v="0"/>
    <x v="0"/>
    <x v="1"/>
    <x v="1"/>
    <x v="0"/>
  </r>
  <r>
    <x v="204"/>
    <x v="160"/>
    <x v="1"/>
    <x v="8"/>
    <x v="2"/>
    <x v="204"/>
    <x v="1"/>
    <x v="1"/>
    <x v="2"/>
    <x v="0"/>
    <x v="3"/>
    <x v="2"/>
    <x v="2"/>
    <x v="0"/>
  </r>
  <r>
    <x v="205"/>
    <x v="81"/>
    <x v="1"/>
    <x v="4"/>
    <x v="0"/>
    <x v="205"/>
    <x v="1"/>
    <x v="1"/>
    <x v="4"/>
    <x v="1"/>
    <x v="1"/>
    <x v="3"/>
    <x v="3"/>
    <x v="0"/>
  </r>
  <r>
    <x v="206"/>
    <x v="161"/>
    <x v="0"/>
    <x v="7"/>
    <x v="2"/>
    <x v="206"/>
    <x v="1"/>
    <x v="5"/>
    <x v="2"/>
    <x v="0"/>
    <x v="0"/>
    <x v="0"/>
    <x v="0"/>
    <x v="0"/>
  </r>
  <r>
    <x v="207"/>
    <x v="162"/>
    <x v="1"/>
    <x v="6"/>
    <x v="0"/>
    <x v="207"/>
    <x v="1"/>
    <x v="6"/>
    <x v="1"/>
    <x v="0"/>
    <x v="2"/>
    <x v="4"/>
    <x v="3"/>
    <x v="0"/>
  </r>
  <r>
    <x v="208"/>
    <x v="163"/>
    <x v="0"/>
    <x v="5"/>
    <x v="0"/>
    <x v="208"/>
    <x v="4"/>
    <x v="6"/>
    <x v="2"/>
    <x v="1"/>
    <x v="0"/>
    <x v="5"/>
    <x v="3"/>
    <x v="0"/>
  </r>
  <r>
    <x v="209"/>
    <x v="164"/>
    <x v="1"/>
    <x v="2"/>
    <x v="1"/>
    <x v="209"/>
    <x v="1"/>
    <x v="3"/>
    <x v="4"/>
    <x v="1"/>
    <x v="4"/>
    <x v="3"/>
    <x v="3"/>
    <x v="0"/>
  </r>
  <r>
    <x v="210"/>
    <x v="51"/>
    <x v="0"/>
    <x v="6"/>
    <x v="1"/>
    <x v="210"/>
    <x v="2"/>
    <x v="1"/>
    <x v="3"/>
    <x v="0"/>
    <x v="4"/>
    <x v="0"/>
    <x v="0"/>
    <x v="0"/>
  </r>
  <r>
    <x v="211"/>
    <x v="165"/>
    <x v="0"/>
    <x v="10"/>
    <x v="2"/>
    <x v="211"/>
    <x v="3"/>
    <x v="3"/>
    <x v="2"/>
    <x v="1"/>
    <x v="0"/>
    <x v="1"/>
    <x v="1"/>
    <x v="0"/>
  </r>
  <r>
    <x v="212"/>
    <x v="166"/>
    <x v="0"/>
    <x v="8"/>
    <x v="0"/>
    <x v="212"/>
    <x v="3"/>
    <x v="3"/>
    <x v="3"/>
    <x v="1"/>
    <x v="5"/>
    <x v="5"/>
    <x v="3"/>
    <x v="0"/>
  </r>
  <r>
    <x v="213"/>
    <x v="52"/>
    <x v="1"/>
    <x v="5"/>
    <x v="2"/>
    <x v="213"/>
    <x v="4"/>
    <x v="6"/>
    <x v="0"/>
    <x v="0"/>
    <x v="1"/>
    <x v="2"/>
    <x v="2"/>
    <x v="0"/>
  </r>
  <r>
    <x v="214"/>
    <x v="74"/>
    <x v="1"/>
    <x v="6"/>
    <x v="0"/>
    <x v="214"/>
    <x v="3"/>
    <x v="2"/>
    <x v="0"/>
    <x v="1"/>
    <x v="2"/>
    <x v="4"/>
    <x v="3"/>
    <x v="0"/>
  </r>
  <r>
    <x v="215"/>
    <x v="64"/>
    <x v="1"/>
    <x v="5"/>
    <x v="0"/>
    <x v="215"/>
    <x v="0"/>
    <x v="4"/>
    <x v="1"/>
    <x v="0"/>
    <x v="1"/>
    <x v="1"/>
    <x v="1"/>
    <x v="0"/>
  </r>
  <r>
    <x v="216"/>
    <x v="142"/>
    <x v="0"/>
    <x v="7"/>
    <x v="2"/>
    <x v="216"/>
    <x v="3"/>
    <x v="6"/>
    <x v="0"/>
    <x v="0"/>
    <x v="5"/>
    <x v="1"/>
    <x v="1"/>
    <x v="0"/>
  </r>
  <r>
    <x v="217"/>
    <x v="71"/>
    <x v="1"/>
    <x v="4"/>
    <x v="2"/>
    <x v="217"/>
    <x v="1"/>
    <x v="3"/>
    <x v="1"/>
    <x v="0"/>
    <x v="2"/>
    <x v="1"/>
    <x v="1"/>
    <x v="0"/>
  </r>
  <r>
    <x v="218"/>
    <x v="167"/>
    <x v="1"/>
    <x v="0"/>
    <x v="2"/>
    <x v="218"/>
    <x v="0"/>
    <x v="4"/>
    <x v="4"/>
    <x v="0"/>
    <x v="3"/>
    <x v="2"/>
    <x v="2"/>
    <x v="0"/>
  </r>
  <r>
    <x v="219"/>
    <x v="155"/>
    <x v="1"/>
    <x v="2"/>
    <x v="0"/>
    <x v="219"/>
    <x v="3"/>
    <x v="5"/>
    <x v="1"/>
    <x v="1"/>
    <x v="4"/>
    <x v="2"/>
    <x v="2"/>
    <x v="0"/>
  </r>
  <r>
    <x v="220"/>
    <x v="168"/>
    <x v="1"/>
    <x v="6"/>
    <x v="0"/>
    <x v="220"/>
    <x v="2"/>
    <x v="4"/>
    <x v="1"/>
    <x v="1"/>
    <x v="1"/>
    <x v="3"/>
    <x v="3"/>
    <x v="0"/>
  </r>
  <r>
    <x v="221"/>
    <x v="169"/>
    <x v="1"/>
    <x v="3"/>
    <x v="2"/>
    <x v="221"/>
    <x v="4"/>
    <x v="2"/>
    <x v="0"/>
    <x v="0"/>
    <x v="2"/>
    <x v="4"/>
    <x v="3"/>
    <x v="0"/>
  </r>
  <r>
    <x v="222"/>
    <x v="60"/>
    <x v="0"/>
    <x v="4"/>
    <x v="2"/>
    <x v="222"/>
    <x v="3"/>
    <x v="2"/>
    <x v="3"/>
    <x v="1"/>
    <x v="3"/>
    <x v="4"/>
    <x v="3"/>
    <x v="0"/>
  </r>
  <r>
    <x v="223"/>
    <x v="52"/>
    <x v="1"/>
    <x v="5"/>
    <x v="2"/>
    <x v="223"/>
    <x v="0"/>
    <x v="1"/>
    <x v="1"/>
    <x v="0"/>
    <x v="4"/>
    <x v="0"/>
    <x v="0"/>
    <x v="0"/>
  </r>
  <r>
    <x v="224"/>
    <x v="63"/>
    <x v="1"/>
    <x v="6"/>
    <x v="0"/>
    <x v="224"/>
    <x v="4"/>
    <x v="5"/>
    <x v="4"/>
    <x v="0"/>
    <x v="1"/>
    <x v="1"/>
    <x v="1"/>
    <x v="0"/>
  </r>
  <r>
    <x v="225"/>
    <x v="170"/>
    <x v="1"/>
    <x v="0"/>
    <x v="0"/>
    <x v="225"/>
    <x v="4"/>
    <x v="1"/>
    <x v="0"/>
    <x v="1"/>
    <x v="3"/>
    <x v="4"/>
    <x v="3"/>
    <x v="0"/>
  </r>
  <r>
    <x v="226"/>
    <x v="171"/>
    <x v="0"/>
    <x v="5"/>
    <x v="0"/>
    <x v="226"/>
    <x v="0"/>
    <x v="4"/>
    <x v="1"/>
    <x v="0"/>
    <x v="5"/>
    <x v="0"/>
    <x v="0"/>
    <x v="0"/>
  </r>
  <r>
    <x v="227"/>
    <x v="147"/>
    <x v="0"/>
    <x v="5"/>
    <x v="2"/>
    <x v="227"/>
    <x v="0"/>
    <x v="2"/>
    <x v="4"/>
    <x v="0"/>
    <x v="2"/>
    <x v="5"/>
    <x v="3"/>
    <x v="0"/>
  </r>
  <r>
    <x v="228"/>
    <x v="62"/>
    <x v="1"/>
    <x v="6"/>
    <x v="0"/>
    <x v="228"/>
    <x v="1"/>
    <x v="6"/>
    <x v="0"/>
    <x v="0"/>
    <x v="5"/>
    <x v="3"/>
    <x v="3"/>
    <x v="0"/>
  </r>
  <r>
    <x v="229"/>
    <x v="123"/>
    <x v="1"/>
    <x v="1"/>
    <x v="2"/>
    <x v="229"/>
    <x v="0"/>
    <x v="6"/>
    <x v="3"/>
    <x v="0"/>
    <x v="0"/>
    <x v="2"/>
    <x v="2"/>
    <x v="0"/>
  </r>
  <r>
    <x v="230"/>
    <x v="172"/>
    <x v="1"/>
    <x v="8"/>
    <x v="2"/>
    <x v="230"/>
    <x v="3"/>
    <x v="3"/>
    <x v="4"/>
    <x v="0"/>
    <x v="2"/>
    <x v="4"/>
    <x v="3"/>
    <x v="0"/>
  </r>
  <r>
    <x v="231"/>
    <x v="129"/>
    <x v="1"/>
    <x v="5"/>
    <x v="2"/>
    <x v="231"/>
    <x v="3"/>
    <x v="2"/>
    <x v="2"/>
    <x v="1"/>
    <x v="5"/>
    <x v="3"/>
    <x v="3"/>
    <x v="0"/>
  </r>
  <r>
    <x v="232"/>
    <x v="104"/>
    <x v="1"/>
    <x v="0"/>
    <x v="0"/>
    <x v="232"/>
    <x v="0"/>
    <x v="2"/>
    <x v="3"/>
    <x v="0"/>
    <x v="1"/>
    <x v="5"/>
    <x v="3"/>
    <x v="0"/>
  </r>
  <r>
    <x v="233"/>
    <x v="173"/>
    <x v="1"/>
    <x v="2"/>
    <x v="0"/>
    <x v="233"/>
    <x v="3"/>
    <x v="5"/>
    <x v="3"/>
    <x v="1"/>
    <x v="2"/>
    <x v="4"/>
    <x v="3"/>
    <x v="0"/>
  </r>
  <r>
    <x v="234"/>
    <x v="174"/>
    <x v="1"/>
    <x v="3"/>
    <x v="2"/>
    <x v="234"/>
    <x v="4"/>
    <x v="2"/>
    <x v="4"/>
    <x v="0"/>
    <x v="3"/>
    <x v="5"/>
    <x v="3"/>
    <x v="0"/>
  </r>
  <r>
    <x v="235"/>
    <x v="8"/>
    <x v="0"/>
    <x v="2"/>
    <x v="2"/>
    <x v="235"/>
    <x v="3"/>
    <x v="4"/>
    <x v="0"/>
    <x v="0"/>
    <x v="1"/>
    <x v="1"/>
    <x v="1"/>
    <x v="0"/>
  </r>
  <r>
    <x v="236"/>
    <x v="175"/>
    <x v="1"/>
    <x v="3"/>
    <x v="2"/>
    <x v="236"/>
    <x v="0"/>
    <x v="2"/>
    <x v="1"/>
    <x v="0"/>
    <x v="4"/>
    <x v="5"/>
    <x v="3"/>
    <x v="0"/>
  </r>
  <r>
    <x v="237"/>
    <x v="176"/>
    <x v="1"/>
    <x v="3"/>
    <x v="0"/>
    <x v="237"/>
    <x v="3"/>
    <x v="6"/>
    <x v="4"/>
    <x v="1"/>
    <x v="1"/>
    <x v="5"/>
    <x v="3"/>
    <x v="0"/>
  </r>
  <r>
    <x v="238"/>
    <x v="117"/>
    <x v="1"/>
    <x v="2"/>
    <x v="2"/>
    <x v="238"/>
    <x v="3"/>
    <x v="0"/>
    <x v="3"/>
    <x v="1"/>
    <x v="2"/>
    <x v="5"/>
    <x v="3"/>
    <x v="0"/>
  </r>
  <r>
    <x v="239"/>
    <x v="177"/>
    <x v="1"/>
    <x v="7"/>
    <x v="2"/>
    <x v="239"/>
    <x v="3"/>
    <x v="1"/>
    <x v="0"/>
    <x v="1"/>
    <x v="2"/>
    <x v="3"/>
    <x v="3"/>
    <x v="0"/>
  </r>
  <r>
    <x v="240"/>
    <x v="178"/>
    <x v="0"/>
    <x v="0"/>
    <x v="0"/>
    <x v="240"/>
    <x v="3"/>
    <x v="1"/>
    <x v="1"/>
    <x v="0"/>
    <x v="1"/>
    <x v="0"/>
    <x v="0"/>
    <x v="0"/>
  </r>
  <r>
    <x v="241"/>
    <x v="179"/>
    <x v="1"/>
    <x v="3"/>
    <x v="0"/>
    <x v="241"/>
    <x v="3"/>
    <x v="3"/>
    <x v="3"/>
    <x v="0"/>
    <x v="2"/>
    <x v="3"/>
    <x v="3"/>
    <x v="0"/>
  </r>
  <r>
    <x v="242"/>
    <x v="180"/>
    <x v="0"/>
    <x v="8"/>
    <x v="0"/>
    <x v="242"/>
    <x v="1"/>
    <x v="5"/>
    <x v="0"/>
    <x v="1"/>
    <x v="2"/>
    <x v="3"/>
    <x v="3"/>
    <x v="0"/>
  </r>
  <r>
    <x v="243"/>
    <x v="181"/>
    <x v="1"/>
    <x v="8"/>
    <x v="2"/>
    <x v="243"/>
    <x v="1"/>
    <x v="4"/>
    <x v="1"/>
    <x v="1"/>
    <x v="0"/>
    <x v="0"/>
    <x v="0"/>
    <x v="0"/>
  </r>
  <r>
    <x v="244"/>
    <x v="182"/>
    <x v="1"/>
    <x v="4"/>
    <x v="0"/>
    <x v="244"/>
    <x v="2"/>
    <x v="0"/>
    <x v="3"/>
    <x v="0"/>
    <x v="1"/>
    <x v="1"/>
    <x v="1"/>
    <x v="0"/>
  </r>
  <r>
    <x v="245"/>
    <x v="183"/>
    <x v="0"/>
    <x v="5"/>
    <x v="0"/>
    <x v="245"/>
    <x v="2"/>
    <x v="6"/>
    <x v="1"/>
    <x v="1"/>
    <x v="2"/>
    <x v="4"/>
    <x v="3"/>
    <x v="0"/>
  </r>
  <r>
    <x v="246"/>
    <x v="184"/>
    <x v="1"/>
    <x v="5"/>
    <x v="0"/>
    <x v="246"/>
    <x v="1"/>
    <x v="3"/>
    <x v="0"/>
    <x v="0"/>
    <x v="4"/>
    <x v="0"/>
    <x v="0"/>
    <x v="0"/>
  </r>
  <r>
    <x v="247"/>
    <x v="104"/>
    <x v="1"/>
    <x v="0"/>
    <x v="0"/>
    <x v="247"/>
    <x v="3"/>
    <x v="2"/>
    <x v="2"/>
    <x v="1"/>
    <x v="5"/>
    <x v="2"/>
    <x v="2"/>
    <x v="0"/>
  </r>
  <r>
    <x v="248"/>
    <x v="185"/>
    <x v="1"/>
    <x v="5"/>
    <x v="2"/>
    <x v="248"/>
    <x v="1"/>
    <x v="5"/>
    <x v="3"/>
    <x v="0"/>
    <x v="5"/>
    <x v="1"/>
    <x v="1"/>
    <x v="0"/>
  </r>
  <r>
    <x v="249"/>
    <x v="186"/>
    <x v="1"/>
    <x v="6"/>
    <x v="2"/>
    <x v="249"/>
    <x v="4"/>
    <x v="6"/>
    <x v="3"/>
    <x v="1"/>
    <x v="0"/>
    <x v="5"/>
    <x v="3"/>
    <x v="0"/>
  </r>
  <r>
    <x v="250"/>
    <x v="139"/>
    <x v="1"/>
    <x v="8"/>
    <x v="1"/>
    <x v="250"/>
    <x v="2"/>
    <x v="1"/>
    <x v="3"/>
    <x v="1"/>
    <x v="4"/>
    <x v="4"/>
    <x v="3"/>
    <x v="0"/>
  </r>
  <r>
    <x v="251"/>
    <x v="122"/>
    <x v="1"/>
    <x v="6"/>
    <x v="2"/>
    <x v="251"/>
    <x v="0"/>
    <x v="2"/>
    <x v="3"/>
    <x v="0"/>
    <x v="1"/>
    <x v="5"/>
    <x v="3"/>
    <x v="0"/>
  </r>
  <r>
    <x v="252"/>
    <x v="187"/>
    <x v="1"/>
    <x v="8"/>
    <x v="0"/>
    <x v="252"/>
    <x v="1"/>
    <x v="3"/>
    <x v="2"/>
    <x v="0"/>
    <x v="3"/>
    <x v="1"/>
    <x v="1"/>
    <x v="0"/>
  </r>
  <r>
    <x v="253"/>
    <x v="188"/>
    <x v="1"/>
    <x v="10"/>
    <x v="2"/>
    <x v="253"/>
    <x v="2"/>
    <x v="2"/>
    <x v="2"/>
    <x v="0"/>
    <x v="1"/>
    <x v="3"/>
    <x v="3"/>
    <x v="0"/>
  </r>
  <r>
    <x v="254"/>
    <x v="189"/>
    <x v="1"/>
    <x v="10"/>
    <x v="0"/>
    <x v="254"/>
    <x v="1"/>
    <x v="0"/>
    <x v="3"/>
    <x v="1"/>
    <x v="0"/>
    <x v="4"/>
    <x v="3"/>
    <x v="0"/>
  </r>
  <r>
    <x v="255"/>
    <x v="166"/>
    <x v="0"/>
    <x v="8"/>
    <x v="0"/>
    <x v="255"/>
    <x v="1"/>
    <x v="0"/>
    <x v="1"/>
    <x v="0"/>
    <x v="4"/>
    <x v="3"/>
    <x v="3"/>
    <x v="0"/>
  </r>
  <r>
    <x v="256"/>
    <x v="190"/>
    <x v="1"/>
    <x v="8"/>
    <x v="1"/>
    <x v="256"/>
    <x v="0"/>
    <x v="5"/>
    <x v="4"/>
    <x v="0"/>
    <x v="3"/>
    <x v="4"/>
    <x v="3"/>
    <x v="0"/>
  </r>
  <r>
    <x v="257"/>
    <x v="191"/>
    <x v="1"/>
    <x v="9"/>
    <x v="2"/>
    <x v="257"/>
    <x v="1"/>
    <x v="5"/>
    <x v="2"/>
    <x v="0"/>
    <x v="0"/>
    <x v="2"/>
    <x v="2"/>
    <x v="0"/>
  </r>
  <r>
    <x v="258"/>
    <x v="51"/>
    <x v="0"/>
    <x v="6"/>
    <x v="1"/>
    <x v="258"/>
    <x v="3"/>
    <x v="5"/>
    <x v="2"/>
    <x v="1"/>
    <x v="2"/>
    <x v="0"/>
    <x v="0"/>
    <x v="0"/>
  </r>
  <r>
    <x v="259"/>
    <x v="192"/>
    <x v="0"/>
    <x v="4"/>
    <x v="1"/>
    <x v="259"/>
    <x v="2"/>
    <x v="4"/>
    <x v="2"/>
    <x v="1"/>
    <x v="5"/>
    <x v="2"/>
    <x v="2"/>
    <x v="0"/>
  </r>
  <r>
    <x v="260"/>
    <x v="186"/>
    <x v="1"/>
    <x v="6"/>
    <x v="2"/>
    <x v="260"/>
    <x v="1"/>
    <x v="2"/>
    <x v="1"/>
    <x v="0"/>
    <x v="1"/>
    <x v="0"/>
    <x v="0"/>
    <x v="0"/>
  </r>
  <r>
    <x v="261"/>
    <x v="193"/>
    <x v="0"/>
    <x v="2"/>
    <x v="2"/>
    <x v="261"/>
    <x v="4"/>
    <x v="1"/>
    <x v="0"/>
    <x v="1"/>
    <x v="3"/>
    <x v="4"/>
    <x v="3"/>
    <x v="0"/>
  </r>
  <r>
    <x v="262"/>
    <x v="140"/>
    <x v="0"/>
    <x v="5"/>
    <x v="2"/>
    <x v="262"/>
    <x v="1"/>
    <x v="5"/>
    <x v="1"/>
    <x v="1"/>
    <x v="0"/>
    <x v="2"/>
    <x v="2"/>
    <x v="0"/>
  </r>
  <r>
    <x v="263"/>
    <x v="147"/>
    <x v="0"/>
    <x v="5"/>
    <x v="2"/>
    <x v="263"/>
    <x v="4"/>
    <x v="6"/>
    <x v="2"/>
    <x v="0"/>
    <x v="5"/>
    <x v="1"/>
    <x v="1"/>
    <x v="0"/>
  </r>
  <r>
    <x v="264"/>
    <x v="13"/>
    <x v="0"/>
    <x v="4"/>
    <x v="2"/>
    <x v="264"/>
    <x v="3"/>
    <x v="1"/>
    <x v="0"/>
    <x v="0"/>
    <x v="2"/>
    <x v="0"/>
    <x v="0"/>
    <x v="0"/>
  </r>
  <r>
    <x v="265"/>
    <x v="194"/>
    <x v="0"/>
    <x v="5"/>
    <x v="0"/>
    <x v="265"/>
    <x v="0"/>
    <x v="6"/>
    <x v="1"/>
    <x v="0"/>
    <x v="2"/>
    <x v="0"/>
    <x v="0"/>
    <x v="0"/>
  </r>
  <r>
    <x v="266"/>
    <x v="13"/>
    <x v="0"/>
    <x v="4"/>
    <x v="2"/>
    <x v="266"/>
    <x v="2"/>
    <x v="4"/>
    <x v="4"/>
    <x v="0"/>
    <x v="5"/>
    <x v="3"/>
    <x v="3"/>
    <x v="0"/>
  </r>
  <r>
    <x v="267"/>
    <x v="195"/>
    <x v="1"/>
    <x v="6"/>
    <x v="2"/>
    <x v="267"/>
    <x v="0"/>
    <x v="6"/>
    <x v="4"/>
    <x v="0"/>
    <x v="1"/>
    <x v="4"/>
    <x v="3"/>
    <x v="0"/>
  </r>
  <r>
    <x v="268"/>
    <x v="196"/>
    <x v="1"/>
    <x v="2"/>
    <x v="2"/>
    <x v="268"/>
    <x v="4"/>
    <x v="5"/>
    <x v="1"/>
    <x v="0"/>
    <x v="2"/>
    <x v="1"/>
    <x v="1"/>
    <x v="0"/>
  </r>
  <r>
    <x v="269"/>
    <x v="197"/>
    <x v="0"/>
    <x v="7"/>
    <x v="2"/>
    <x v="269"/>
    <x v="4"/>
    <x v="3"/>
    <x v="4"/>
    <x v="1"/>
    <x v="5"/>
    <x v="3"/>
    <x v="3"/>
    <x v="0"/>
  </r>
  <r>
    <x v="270"/>
    <x v="99"/>
    <x v="1"/>
    <x v="10"/>
    <x v="2"/>
    <x v="270"/>
    <x v="0"/>
    <x v="4"/>
    <x v="2"/>
    <x v="0"/>
    <x v="1"/>
    <x v="1"/>
    <x v="1"/>
    <x v="0"/>
  </r>
  <r>
    <x v="271"/>
    <x v="68"/>
    <x v="0"/>
    <x v="8"/>
    <x v="2"/>
    <x v="271"/>
    <x v="1"/>
    <x v="0"/>
    <x v="1"/>
    <x v="1"/>
    <x v="4"/>
    <x v="0"/>
    <x v="0"/>
    <x v="0"/>
  </r>
  <r>
    <x v="272"/>
    <x v="198"/>
    <x v="0"/>
    <x v="5"/>
    <x v="0"/>
    <x v="272"/>
    <x v="4"/>
    <x v="4"/>
    <x v="0"/>
    <x v="1"/>
    <x v="0"/>
    <x v="2"/>
    <x v="2"/>
    <x v="0"/>
  </r>
  <r>
    <x v="273"/>
    <x v="199"/>
    <x v="1"/>
    <x v="10"/>
    <x v="2"/>
    <x v="273"/>
    <x v="1"/>
    <x v="5"/>
    <x v="0"/>
    <x v="0"/>
    <x v="0"/>
    <x v="4"/>
    <x v="3"/>
    <x v="0"/>
  </r>
  <r>
    <x v="274"/>
    <x v="200"/>
    <x v="1"/>
    <x v="3"/>
    <x v="2"/>
    <x v="274"/>
    <x v="2"/>
    <x v="2"/>
    <x v="4"/>
    <x v="0"/>
    <x v="1"/>
    <x v="5"/>
    <x v="3"/>
    <x v="0"/>
  </r>
  <r>
    <x v="275"/>
    <x v="189"/>
    <x v="1"/>
    <x v="10"/>
    <x v="0"/>
    <x v="275"/>
    <x v="0"/>
    <x v="1"/>
    <x v="2"/>
    <x v="0"/>
    <x v="5"/>
    <x v="4"/>
    <x v="3"/>
    <x v="0"/>
  </r>
  <r>
    <x v="276"/>
    <x v="201"/>
    <x v="1"/>
    <x v="5"/>
    <x v="0"/>
    <x v="276"/>
    <x v="1"/>
    <x v="0"/>
    <x v="2"/>
    <x v="1"/>
    <x v="3"/>
    <x v="5"/>
    <x v="3"/>
    <x v="0"/>
  </r>
  <r>
    <x v="277"/>
    <x v="123"/>
    <x v="1"/>
    <x v="1"/>
    <x v="2"/>
    <x v="277"/>
    <x v="1"/>
    <x v="2"/>
    <x v="2"/>
    <x v="0"/>
    <x v="1"/>
    <x v="0"/>
    <x v="0"/>
    <x v="0"/>
  </r>
  <r>
    <x v="278"/>
    <x v="65"/>
    <x v="0"/>
    <x v="2"/>
    <x v="0"/>
    <x v="278"/>
    <x v="2"/>
    <x v="5"/>
    <x v="4"/>
    <x v="0"/>
    <x v="0"/>
    <x v="5"/>
    <x v="3"/>
    <x v="0"/>
  </r>
  <r>
    <x v="279"/>
    <x v="177"/>
    <x v="1"/>
    <x v="7"/>
    <x v="2"/>
    <x v="279"/>
    <x v="4"/>
    <x v="3"/>
    <x v="0"/>
    <x v="0"/>
    <x v="0"/>
    <x v="4"/>
    <x v="3"/>
    <x v="0"/>
  </r>
  <r>
    <x v="280"/>
    <x v="202"/>
    <x v="0"/>
    <x v="0"/>
    <x v="0"/>
    <x v="280"/>
    <x v="2"/>
    <x v="2"/>
    <x v="4"/>
    <x v="0"/>
    <x v="3"/>
    <x v="0"/>
    <x v="0"/>
    <x v="0"/>
  </r>
  <r>
    <x v="281"/>
    <x v="203"/>
    <x v="1"/>
    <x v="4"/>
    <x v="2"/>
    <x v="281"/>
    <x v="2"/>
    <x v="0"/>
    <x v="0"/>
    <x v="1"/>
    <x v="1"/>
    <x v="5"/>
    <x v="3"/>
    <x v="0"/>
  </r>
  <r>
    <x v="282"/>
    <x v="204"/>
    <x v="0"/>
    <x v="8"/>
    <x v="2"/>
    <x v="282"/>
    <x v="4"/>
    <x v="6"/>
    <x v="4"/>
    <x v="1"/>
    <x v="4"/>
    <x v="5"/>
    <x v="3"/>
    <x v="0"/>
  </r>
  <r>
    <x v="283"/>
    <x v="40"/>
    <x v="1"/>
    <x v="0"/>
    <x v="2"/>
    <x v="283"/>
    <x v="0"/>
    <x v="2"/>
    <x v="2"/>
    <x v="0"/>
    <x v="5"/>
    <x v="4"/>
    <x v="3"/>
    <x v="0"/>
  </r>
  <r>
    <x v="284"/>
    <x v="200"/>
    <x v="1"/>
    <x v="3"/>
    <x v="2"/>
    <x v="284"/>
    <x v="1"/>
    <x v="3"/>
    <x v="0"/>
    <x v="1"/>
    <x v="5"/>
    <x v="4"/>
    <x v="3"/>
    <x v="0"/>
  </r>
  <r>
    <x v="285"/>
    <x v="141"/>
    <x v="0"/>
    <x v="7"/>
    <x v="2"/>
    <x v="285"/>
    <x v="1"/>
    <x v="0"/>
    <x v="0"/>
    <x v="0"/>
    <x v="1"/>
    <x v="0"/>
    <x v="0"/>
    <x v="0"/>
  </r>
  <r>
    <x v="286"/>
    <x v="131"/>
    <x v="0"/>
    <x v="5"/>
    <x v="2"/>
    <x v="286"/>
    <x v="2"/>
    <x v="1"/>
    <x v="2"/>
    <x v="0"/>
    <x v="0"/>
    <x v="3"/>
    <x v="3"/>
    <x v="0"/>
  </r>
  <r>
    <x v="287"/>
    <x v="100"/>
    <x v="0"/>
    <x v="8"/>
    <x v="0"/>
    <x v="287"/>
    <x v="2"/>
    <x v="6"/>
    <x v="0"/>
    <x v="1"/>
    <x v="5"/>
    <x v="4"/>
    <x v="3"/>
    <x v="0"/>
  </r>
  <r>
    <x v="288"/>
    <x v="205"/>
    <x v="1"/>
    <x v="7"/>
    <x v="1"/>
    <x v="288"/>
    <x v="4"/>
    <x v="4"/>
    <x v="1"/>
    <x v="0"/>
    <x v="5"/>
    <x v="5"/>
    <x v="3"/>
    <x v="0"/>
  </r>
  <r>
    <x v="289"/>
    <x v="206"/>
    <x v="1"/>
    <x v="1"/>
    <x v="0"/>
    <x v="289"/>
    <x v="4"/>
    <x v="6"/>
    <x v="4"/>
    <x v="1"/>
    <x v="5"/>
    <x v="1"/>
    <x v="1"/>
    <x v="0"/>
  </r>
  <r>
    <x v="290"/>
    <x v="49"/>
    <x v="1"/>
    <x v="5"/>
    <x v="0"/>
    <x v="290"/>
    <x v="1"/>
    <x v="1"/>
    <x v="1"/>
    <x v="0"/>
    <x v="2"/>
    <x v="4"/>
    <x v="3"/>
    <x v="0"/>
  </r>
  <r>
    <x v="291"/>
    <x v="15"/>
    <x v="1"/>
    <x v="4"/>
    <x v="2"/>
    <x v="291"/>
    <x v="4"/>
    <x v="6"/>
    <x v="3"/>
    <x v="1"/>
    <x v="5"/>
    <x v="0"/>
    <x v="0"/>
    <x v="0"/>
  </r>
  <r>
    <x v="292"/>
    <x v="193"/>
    <x v="0"/>
    <x v="2"/>
    <x v="2"/>
    <x v="292"/>
    <x v="2"/>
    <x v="6"/>
    <x v="4"/>
    <x v="1"/>
    <x v="5"/>
    <x v="1"/>
    <x v="1"/>
    <x v="0"/>
  </r>
  <r>
    <x v="293"/>
    <x v="207"/>
    <x v="1"/>
    <x v="4"/>
    <x v="2"/>
    <x v="293"/>
    <x v="1"/>
    <x v="3"/>
    <x v="2"/>
    <x v="0"/>
    <x v="3"/>
    <x v="3"/>
    <x v="3"/>
    <x v="0"/>
  </r>
  <r>
    <x v="294"/>
    <x v="88"/>
    <x v="1"/>
    <x v="4"/>
    <x v="2"/>
    <x v="294"/>
    <x v="2"/>
    <x v="0"/>
    <x v="3"/>
    <x v="1"/>
    <x v="1"/>
    <x v="3"/>
    <x v="3"/>
    <x v="0"/>
  </r>
  <r>
    <x v="295"/>
    <x v="102"/>
    <x v="0"/>
    <x v="0"/>
    <x v="2"/>
    <x v="295"/>
    <x v="0"/>
    <x v="3"/>
    <x v="4"/>
    <x v="0"/>
    <x v="4"/>
    <x v="1"/>
    <x v="1"/>
    <x v="0"/>
  </r>
  <r>
    <x v="296"/>
    <x v="124"/>
    <x v="1"/>
    <x v="5"/>
    <x v="0"/>
    <x v="296"/>
    <x v="2"/>
    <x v="4"/>
    <x v="0"/>
    <x v="1"/>
    <x v="5"/>
    <x v="5"/>
    <x v="3"/>
    <x v="0"/>
  </r>
  <r>
    <x v="297"/>
    <x v="102"/>
    <x v="0"/>
    <x v="0"/>
    <x v="2"/>
    <x v="297"/>
    <x v="2"/>
    <x v="3"/>
    <x v="3"/>
    <x v="0"/>
    <x v="4"/>
    <x v="1"/>
    <x v="1"/>
    <x v="0"/>
  </r>
  <r>
    <x v="298"/>
    <x v="208"/>
    <x v="1"/>
    <x v="3"/>
    <x v="0"/>
    <x v="298"/>
    <x v="4"/>
    <x v="6"/>
    <x v="3"/>
    <x v="1"/>
    <x v="4"/>
    <x v="1"/>
    <x v="1"/>
    <x v="0"/>
  </r>
  <r>
    <x v="299"/>
    <x v="209"/>
    <x v="1"/>
    <x v="10"/>
    <x v="2"/>
    <x v="299"/>
    <x v="0"/>
    <x v="3"/>
    <x v="3"/>
    <x v="0"/>
    <x v="3"/>
    <x v="3"/>
    <x v="3"/>
    <x v="0"/>
  </r>
  <r>
    <x v="300"/>
    <x v="178"/>
    <x v="0"/>
    <x v="0"/>
    <x v="0"/>
    <x v="300"/>
    <x v="1"/>
    <x v="4"/>
    <x v="3"/>
    <x v="0"/>
    <x v="1"/>
    <x v="2"/>
    <x v="2"/>
    <x v="0"/>
  </r>
  <r>
    <x v="301"/>
    <x v="210"/>
    <x v="1"/>
    <x v="4"/>
    <x v="2"/>
    <x v="301"/>
    <x v="0"/>
    <x v="0"/>
    <x v="2"/>
    <x v="0"/>
    <x v="1"/>
    <x v="0"/>
    <x v="0"/>
    <x v="0"/>
  </r>
  <r>
    <x v="302"/>
    <x v="211"/>
    <x v="1"/>
    <x v="10"/>
    <x v="0"/>
    <x v="302"/>
    <x v="2"/>
    <x v="3"/>
    <x v="1"/>
    <x v="1"/>
    <x v="1"/>
    <x v="2"/>
    <x v="2"/>
    <x v="0"/>
  </r>
  <r>
    <x v="303"/>
    <x v="171"/>
    <x v="0"/>
    <x v="5"/>
    <x v="0"/>
    <x v="303"/>
    <x v="0"/>
    <x v="1"/>
    <x v="0"/>
    <x v="0"/>
    <x v="1"/>
    <x v="1"/>
    <x v="1"/>
    <x v="0"/>
  </r>
  <r>
    <x v="304"/>
    <x v="120"/>
    <x v="1"/>
    <x v="7"/>
    <x v="0"/>
    <x v="304"/>
    <x v="4"/>
    <x v="1"/>
    <x v="1"/>
    <x v="1"/>
    <x v="2"/>
    <x v="0"/>
    <x v="0"/>
    <x v="0"/>
  </r>
  <r>
    <x v="305"/>
    <x v="60"/>
    <x v="0"/>
    <x v="4"/>
    <x v="2"/>
    <x v="305"/>
    <x v="3"/>
    <x v="0"/>
    <x v="3"/>
    <x v="0"/>
    <x v="4"/>
    <x v="5"/>
    <x v="3"/>
    <x v="0"/>
  </r>
  <r>
    <x v="306"/>
    <x v="107"/>
    <x v="1"/>
    <x v="5"/>
    <x v="2"/>
    <x v="306"/>
    <x v="2"/>
    <x v="2"/>
    <x v="3"/>
    <x v="0"/>
    <x v="5"/>
    <x v="5"/>
    <x v="3"/>
    <x v="0"/>
  </r>
  <r>
    <x v="307"/>
    <x v="47"/>
    <x v="1"/>
    <x v="4"/>
    <x v="2"/>
    <x v="307"/>
    <x v="2"/>
    <x v="6"/>
    <x v="0"/>
    <x v="0"/>
    <x v="1"/>
    <x v="5"/>
    <x v="3"/>
    <x v="0"/>
  </r>
  <r>
    <x v="308"/>
    <x v="104"/>
    <x v="1"/>
    <x v="0"/>
    <x v="0"/>
    <x v="308"/>
    <x v="0"/>
    <x v="6"/>
    <x v="3"/>
    <x v="0"/>
    <x v="2"/>
    <x v="0"/>
    <x v="0"/>
    <x v="0"/>
  </r>
  <r>
    <x v="309"/>
    <x v="212"/>
    <x v="1"/>
    <x v="5"/>
    <x v="1"/>
    <x v="309"/>
    <x v="2"/>
    <x v="6"/>
    <x v="2"/>
    <x v="1"/>
    <x v="3"/>
    <x v="3"/>
    <x v="3"/>
    <x v="0"/>
  </r>
  <r>
    <x v="310"/>
    <x v="213"/>
    <x v="1"/>
    <x v="0"/>
    <x v="2"/>
    <x v="310"/>
    <x v="0"/>
    <x v="1"/>
    <x v="0"/>
    <x v="0"/>
    <x v="1"/>
    <x v="2"/>
    <x v="2"/>
    <x v="0"/>
  </r>
  <r>
    <x v="311"/>
    <x v="99"/>
    <x v="1"/>
    <x v="10"/>
    <x v="2"/>
    <x v="311"/>
    <x v="4"/>
    <x v="5"/>
    <x v="3"/>
    <x v="0"/>
    <x v="5"/>
    <x v="1"/>
    <x v="1"/>
    <x v="0"/>
  </r>
  <r>
    <x v="312"/>
    <x v="45"/>
    <x v="0"/>
    <x v="5"/>
    <x v="0"/>
    <x v="312"/>
    <x v="0"/>
    <x v="4"/>
    <x v="2"/>
    <x v="0"/>
    <x v="2"/>
    <x v="1"/>
    <x v="1"/>
    <x v="0"/>
  </r>
  <r>
    <x v="313"/>
    <x v="214"/>
    <x v="1"/>
    <x v="5"/>
    <x v="2"/>
    <x v="313"/>
    <x v="2"/>
    <x v="2"/>
    <x v="0"/>
    <x v="0"/>
    <x v="0"/>
    <x v="0"/>
    <x v="0"/>
    <x v="0"/>
  </r>
  <r>
    <x v="314"/>
    <x v="76"/>
    <x v="1"/>
    <x v="4"/>
    <x v="2"/>
    <x v="314"/>
    <x v="1"/>
    <x v="3"/>
    <x v="4"/>
    <x v="0"/>
    <x v="4"/>
    <x v="4"/>
    <x v="3"/>
    <x v="0"/>
  </r>
  <r>
    <x v="315"/>
    <x v="215"/>
    <x v="1"/>
    <x v="10"/>
    <x v="0"/>
    <x v="315"/>
    <x v="0"/>
    <x v="1"/>
    <x v="2"/>
    <x v="0"/>
    <x v="3"/>
    <x v="2"/>
    <x v="2"/>
    <x v="0"/>
  </r>
  <r>
    <x v="316"/>
    <x v="5"/>
    <x v="1"/>
    <x v="4"/>
    <x v="1"/>
    <x v="316"/>
    <x v="0"/>
    <x v="6"/>
    <x v="1"/>
    <x v="0"/>
    <x v="3"/>
    <x v="2"/>
    <x v="2"/>
    <x v="0"/>
  </r>
  <r>
    <x v="317"/>
    <x v="171"/>
    <x v="0"/>
    <x v="5"/>
    <x v="0"/>
    <x v="317"/>
    <x v="4"/>
    <x v="3"/>
    <x v="0"/>
    <x v="0"/>
    <x v="4"/>
    <x v="5"/>
    <x v="3"/>
    <x v="0"/>
  </r>
  <r>
    <x v="318"/>
    <x v="216"/>
    <x v="2"/>
    <x v="0"/>
    <x v="0"/>
    <x v="318"/>
    <x v="2"/>
    <x v="3"/>
    <x v="3"/>
    <x v="1"/>
    <x v="0"/>
    <x v="3"/>
    <x v="3"/>
    <x v="0"/>
  </r>
  <r>
    <x v="319"/>
    <x v="152"/>
    <x v="1"/>
    <x v="10"/>
    <x v="2"/>
    <x v="319"/>
    <x v="2"/>
    <x v="5"/>
    <x v="0"/>
    <x v="0"/>
    <x v="0"/>
    <x v="3"/>
    <x v="3"/>
    <x v="0"/>
  </r>
  <r>
    <x v="320"/>
    <x v="217"/>
    <x v="0"/>
    <x v="0"/>
    <x v="0"/>
    <x v="320"/>
    <x v="1"/>
    <x v="4"/>
    <x v="4"/>
    <x v="0"/>
    <x v="0"/>
    <x v="3"/>
    <x v="3"/>
    <x v="0"/>
  </r>
  <r>
    <x v="321"/>
    <x v="218"/>
    <x v="1"/>
    <x v="4"/>
    <x v="2"/>
    <x v="321"/>
    <x v="1"/>
    <x v="3"/>
    <x v="2"/>
    <x v="0"/>
    <x v="2"/>
    <x v="4"/>
    <x v="3"/>
    <x v="0"/>
  </r>
  <r>
    <x v="322"/>
    <x v="203"/>
    <x v="1"/>
    <x v="4"/>
    <x v="2"/>
    <x v="322"/>
    <x v="4"/>
    <x v="2"/>
    <x v="1"/>
    <x v="1"/>
    <x v="0"/>
    <x v="5"/>
    <x v="3"/>
    <x v="0"/>
  </r>
  <r>
    <x v="323"/>
    <x v="202"/>
    <x v="0"/>
    <x v="0"/>
    <x v="0"/>
    <x v="323"/>
    <x v="2"/>
    <x v="0"/>
    <x v="4"/>
    <x v="0"/>
    <x v="1"/>
    <x v="3"/>
    <x v="3"/>
    <x v="0"/>
  </r>
  <r>
    <x v="324"/>
    <x v="171"/>
    <x v="0"/>
    <x v="5"/>
    <x v="0"/>
    <x v="324"/>
    <x v="3"/>
    <x v="0"/>
    <x v="2"/>
    <x v="1"/>
    <x v="5"/>
    <x v="4"/>
    <x v="3"/>
    <x v="0"/>
  </r>
  <r>
    <x v="325"/>
    <x v="209"/>
    <x v="1"/>
    <x v="10"/>
    <x v="2"/>
    <x v="325"/>
    <x v="2"/>
    <x v="6"/>
    <x v="0"/>
    <x v="1"/>
    <x v="5"/>
    <x v="2"/>
    <x v="2"/>
    <x v="0"/>
  </r>
  <r>
    <x v="326"/>
    <x v="50"/>
    <x v="1"/>
    <x v="8"/>
    <x v="0"/>
    <x v="326"/>
    <x v="3"/>
    <x v="0"/>
    <x v="2"/>
    <x v="1"/>
    <x v="3"/>
    <x v="3"/>
    <x v="3"/>
    <x v="0"/>
  </r>
  <r>
    <x v="327"/>
    <x v="219"/>
    <x v="0"/>
    <x v="1"/>
    <x v="0"/>
    <x v="327"/>
    <x v="2"/>
    <x v="2"/>
    <x v="3"/>
    <x v="1"/>
    <x v="2"/>
    <x v="3"/>
    <x v="3"/>
    <x v="0"/>
  </r>
  <r>
    <x v="328"/>
    <x v="220"/>
    <x v="1"/>
    <x v="1"/>
    <x v="0"/>
    <x v="328"/>
    <x v="2"/>
    <x v="5"/>
    <x v="2"/>
    <x v="0"/>
    <x v="1"/>
    <x v="4"/>
    <x v="3"/>
    <x v="0"/>
  </r>
  <r>
    <x v="329"/>
    <x v="221"/>
    <x v="1"/>
    <x v="0"/>
    <x v="2"/>
    <x v="329"/>
    <x v="4"/>
    <x v="5"/>
    <x v="4"/>
    <x v="1"/>
    <x v="4"/>
    <x v="4"/>
    <x v="3"/>
    <x v="0"/>
  </r>
  <r>
    <x v="330"/>
    <x v="222"/>
    <x v="0"/>
    <x v="0"/>
    <x v="2"/>
    <x v="330"/>
    <x v="3"/>
    <x v="1"/>
    <x v="3"/>
    <x v="0"/>
    <x v="0"/>
    <x v="0"/>
    <x v="0"/>
    <x v="0"/>
  </r>
  <r>
    <x v="331"/>
    <x v="139"/>
    <x v="1"/>
    <x v="8"/>
    <x v="1"/>
    <x v="331"/>
    <x v="3"/>
    <x v="2"/>
    <x v="3"/>
    <x v="0"/>
    <x v="1"/>
    <x v="3"/>
    <x v="3"/>
    <x v="0"/>
  </r>
  <r>
    <x v="332"/>
    <x v="132"/>
    <x v="0"/>
    <x v="8"/>
    <x v="2"/>
    <x v="332"/>
    <x v="1"/>
    <x v="2"/>
    <x v="3"/>
    <x v="0"/>
    <x v="4"/>
    <x v="1"/>
    <x v="1"/>
    <x v="0"/>
  </r>
  <r>
    <x v="333"/>
    <x v="223"/>
    <x v="1"/>
    <x v="7"/>
    <x v="2"/>
    <x v="333"/>
    <x v="3"/>
    <x v="2"/>
    <x v="3"/>
    <x v="1"/>
    <x v="3"/>
    <x v="0"/>
    <x v="0"/>
    <x v="0"/>
  </r>
  <r>
    <x v="334"/>
    <x v="224"/>
    <x v="1"/>
    <x v="8"/>
    <x v="1"/>
    <x v="334"/>
    <x v="4"/>
    <x v="4"/>
    <x v="2"/>
    <x v="0"/>
    <x v="5"/>
    <x v="1"/>
    <x v="1"/>
    <x v="0"/>
  </r>
  <r>
    <x v="335"/>
    <x v="24"/>
    <x v="1"/>
    <x v="5"/>
    <x v="2"/>
    <x v="335"/>
    <x v="2"/>
    <x v="1"/>
    <x v="2"/>
    <x v="1"/>
    <x v="5"/>
    <x v="3"/>
    <x v="3"/>
    <x v="0"/>
  </r>
  <r>
    <x v="336"/>
    <x v="124"/>
    <x v="1"/>
    <x v="5"/>
    <x v="0"/>
    <x v="336"/>
    <x v="4"/>
    <x v="1"/>
    <x v="1"/>
    <x v="0"/>
    <x v="2"/>
    <x v="0"/>
    <x v="0"/>
    <x v="0"/>
  </r>
  <r>
    <x v="337"/>
    <x v="190"/>
    <x v="1"/>
    <x v="8"/>
    <x v="1"/>
    <x v="337"/>
    <x v="4"/>
    <x v="1"/>
    <x v="3"/>
    <x v="1"/>
    <x v="4"/>
    <x v="1"/>
    <x v="1"/>
    <x v="0"/>
  </r>
  <r>
    <x v="338"/>
    <x v="225"/>
    <x v="1"/>
    <x v="5"/>
    <x v="1"/>
    <x v="338"/>
    <x v="1"/>
    <x v="3"/>
    <x v="3"/>
    <x v="1"/>
    <x v="1"/>
    <x v="1"/>
    <x v="1"/>
    <x v="0"/>
  </r>
  <r>
    <x v="339"/>
    <x v="226"/>
    <x v="1"/>
    <x v="10"/>
    <x v="2"/>
    <x v="339"/>
    <x v="1"/>
    <x v="6"/>
    <x v="0"/>
    <x v="0"/>
    <x v="3"/>
    <x v="2"/>
    <x v="2"/>
    <x v="0"/>
  </r>
  <r>
    <x v="340"/>
    <x v="84"/>
    <x v="1"/>
    <x v="10"/>
    <x v="2"/>
    <x v="340"/>
    <x v="2"/>
    <x v="1"/>
    <x v="0"/>
    <x v="0"/>
    <x v="0"/>
    <x v="0"/>
    <x v="0"/>
    <x v="0"/>
  </r>
  <r>
    <x v="341"/>
    <x v="171"/>
    <x v="0"/>
    <x v="5"/>
    <x v="0"/>
    <x v="341"/>
    <x v="3"/>
    <x v="5"/>
    <x v="1"/>
    <x v="1"/>
    <x v="2"/>
    <x v="1"/>
    <x v="1"/>
    <x v="0"/>
  </r>
  <r>
    <x v="342"/>
    <x v="227"/>
    <x v="1"/>
    <x v="0"/>
    <x v="2"/>
    <x v="342"/>
    <x v="0"/>
    <x v="5"/>
    <x v="2"/>
    <x v="0"/>
    <x v="1"/>
    <x v="3"/>
    <x v="3"/>
    <x v="0"/>
  </r>
  <r>
    <x v="343"/>
    <x v="158"/>
    <x v="1"/>
    <x v="8"/>
    <x v="0"/>
    <x v="343"/>
    <x v="1"/>
    <x v="3"/>
    <x v="1"/>
    <x v="1"/>
    <x v="5"/>
    <x v="2"/>
    <x v="2"/>
    <x v="0"/>
  </r>
  <r>
    <x v="344"/>
    <x v="228"/>
    <x v="1"/>
    <x v="4"/>
    <x v="2"/>
    <x v="344"/>
    <x v="3"/>
    <x v="1"/>
    <x v="4"/>
    <x v="1"/>
    <x v="3"/>
    <x v="5"/>
    <x v="3"/>
    <x v="0"/>
  </r>
  <r>
    <x v="345"/>
    <x v="48"/>
    <x v="0"/>
    <x v="0"/>
    <x v="0"/>
    <x v="345"/>
    <x v="0"/>
    <x v="4"/>
    <x v="2"/>
    <x v="0"/>
    <x v="4"/>
    <x v="3"/>
    <x v="3"/>
    <x v="0"/>
  </r>
  <r>
    <x v="346"/>
    <x v="25"/>
    <x v="1"/>
    <x v="9"/>
    <x v="2"/>
    <x v="346"/>
    <x v="2"/>
    <x v="1"/>
    <x v="4"/>
    <x v="1"/>
    <x v="3"/>
    <x v="1"/>
    <x v="1"/>
    <x v="0"/>
  </r>
  <r>
    <x v="347"/>
    <x v="229"/>
    <x v="1"/>
    <x v="3"/>
    <x v="0"/>
    <x v="347"/>
    <x v="1"/>
    <x v="0"/>
    <x v="4"/>
    <x v="0"/>
    <x v="5"/>
    <x v="2"/>
    <x v="2"/>
    <x v="0"/>
  </r>
  <r>
    <x v="348"/>
    <x v="163"/>
    <x v="0"/>
    <x v="5"/>
    <x v="0"/>
    <x v="348"/>
    <x v="2"/>
    <x v="2"/>
    <x v="2"/>
    <x v="0"/>
    <x v="0"/>
    <x v="1"/>
    <x v="1"/>
    <x v="0"/>
  </r>
  <r>
    <x v="349"/>
    <x v="55"/>
    <x v="0"/>
    <x v="10"/>
    <x v="2"/>
    <x v="349"/>
    <x v="1"/>
    <x v="0"/>
    <x v="0"/>
    <x v="0"/>
    <x v="3"/>
    <x v="5"/>
    <x v="3"/>
    <x v="0"/>
  </r>
  <r>
    <x v="350"/>
    <x v="76"/>
    <x v="1"/>
    <x v="4"/>
    <x v="2"/>
    <x v="350"/>
    <x v="0"/>
    <x v="5"/>
    <x v="0"/>
    <x v="0"/>
    <x v="2"/>
    <x v="5"/>
    <x v="3"/>
    <x v="0"/>
  </r>
  <r>
    <x v="351"/>
    <x v="230"/>
    <x v="1"/>
    <x v="7"/>
    <x v="2"/>
    <x v="351"/>
    <x v="1"/>
    <x v="6"/>
    <x v="1"/>
    <x v="0"/>
    <x v="3"/>
    <x v="4"/>
    <x v="3"/>
    <x v="0"/>
  </r>
  <r>
    <x v="352"/>
    <x v="211"/>
    <x v="1"/>
    <x v="10"/>
    <x v="0"/>
    <x v="352"/>
    <x v="0"/>
    <x v="3"/>
    <x v="0"/>
    <x v="0"/>
    <x v="4"/>
    <x v="3"/>
    <x v="3"/>
    <x v="0"/>
  </r>
  <r>
    <x v="353"/>
    <x v="6"/>
    <x v="2"/>
    <x v="5"/>
    <x v="2"/>
    <x v="353"/>
    <x v="0"/>
    <x v="6"/>
    <x v="2"/>
    <x v="0"/>
    <x v="5"/>
    <x v="1"/>
    <x v="1"/>
    <x v="0"/>
  </r>
  <r>
    <x v="354"/>
    <x v="141"/>
    <x v="0"/>
    <x v="7"/>
    <x v="2"/>
    <x v="354"/>
    <x v="4"/>
    <x v="0"/>
    <x v="2"/>
    <x v="0"/>
    <x v="1"/>
    <x v="0"/>
    <x v="0"/>
    <x v="0"/>
  </r>
  <r>
    <x v="355"/>
    <x v="179"/>
    <x v="1"/>
    <x v="3"/>
    <x v="0"/>
    <x v="355"/>
    <x v="4"/>
    <x v="4"/>
    <x v="4"/>
    <x v="0"/>
    <x v="0"/>
    <x v="0"/>
    <x v="0"/>
    <x v="0"/>
  </r>
  <r>
    <x v="356"/>
    <x v="231"/>
    <x v="1"/>
    <x v="5"/>
    <x v="2"/>
    <x v="356"/>
    <x v="4"/>
    <x v="6"/>
    <x v="0"/>
    <x v="0"/>
    <x v="5"/>
    <x v="5"/>
    <x v="3"/>
    <x v="0"/>
  </r>
  <r>
    <x v="357"/>
    <x v="16"/>
    <x v="0"/>
    <x v="9"/>
    <x v="2"/>
    <x v="357"/>
    <x v="1"/>
    <x v="2"/>
    <x v="2"/>
    <x v="0"/>
    <x v="3"/>
    <x v="2"/>
    <x v="2"/>
    <x v="0"/>
  </r>
  <r>
    <x v="358"/>
    <x v="11"/>
    <x v="1"/>
    <x v="8"/>
    <x v="2"/>
    <x v="358"/>
    <x v="2"/>
    <x v="4"/>
    <x v="3"/>
    <x v="0"/>
    <x v="1"/>
    <x v="4"/>
    <x v="3"/>
    <x v="0"/>
  </r>
  <r>
    <x v="359"/>
    <x v="154"/>
    <x v="1"/>
    <x v="10"/>
    <x v="2"/>
    <x v="359"/>
    <x v="2"/>
    <x v="1"/>
    <x v="3"/>
    <x v="1"/>
    <x v="5"/>
    <x v="2"/>
    <x v="2"/>
    <x v="0"/>
  </r>
  <r>
    <x v="360"/>
    <x v="232"/>
    <x v="1"/>
    <x v="10"/>
    <x v="2"/>
    <x v="360"/>
    <x v="3"/>
    <x v="3"/>
    <x v="0"/>
    <x v="0"/>
    <x v="1"/>
    <x v="2"/>
    <x v="2"/>
    <x v="0"/>
  </r>
  <r>
    <x v="361"/>
    <x v="233"/>
    <x v="1"/>
    <x v="5"/>
    <x v="0"/>
    <x v="361"/>
    <x v="3"/>
    <x v="2"/>
    <x v="1"/>
    <x v="0"/>
    <x v="1"/>
    <x v="1"/>
    <x v="1"/>
    <x v="0"/>
  </r>
  <r>
    <x v="362"/>
    <x v="86"/>
    <x v="1"/>
    <x v="5"/>
    <x v="0"/>
    <x v="362"/>
    <x v="0"/>
    <x v="6"/>
    <x v="1"/>
    <x v="0"/>
    <x v="1"/>
    <x v="1"/>
    <x v="1"/>
    <x v="0"/>
  </r>
  <r>
    <x v="363"/>
    <x v="2"/>
    <x v="0"/>
    <x v="2"/>
    <x v="1"/>
    <x v="363"/>
    <x v="4"/>
    <x v="6"/>
    <x v="3"/>
    <x v="1"/>
    <x v="1"/>
    <x v="2"/>
    <x v="2"/>
    <x v="0"/>
  </r>
  <r>
    <x v="364"/>
    <x v="234"/>
    <x v="0"/>
    <x v="5"/>
    <x v="0"/>
    <x v="364"/>
    <x v="1"/>
    <x v="4"/>
    <x v="0"/>
    <x v="1"/>
    <x v="3"/>
    <x v="4"/>
    <x v="3"/>
    <x v="0"/>
  </r>
  <r>
    <x v="365"/>
    <x v="182"/>
    <x v="1"/>
    <x v="4"/>
    <x v="0"/>
    <x v="365"/>
    <x v="2"/>
    <x v="1"/>
    <x v="2"/>
    <x v="0"/>
    <x v="2"/>
    <x v="0"/>
    <x v="0"/>
    <x v="0"/>
  </r>
  <r>
    <x v="366"/>
    <x v="170"/>
    <x v="1"/>
    <x v="0"/>
    <x v="0"/>
    <x v="366"/>
    <x v="4"/>
    <x v="3"/>
    <x v="0"/>
    <x v="1"/>
    <x v="1"/>
    <x v="2"/>
    <x v="2"/>
    <x v="0"/>
  </r>
  <r>
    <x v="367"/>
    <x v="235"/>
    <x v="0"/>
    <x v="5"/>
    <x v="0"/>
    <x v="367"/>
    <x v="4"/>
    <x v="4"/>
    <x v="4"/>
    <x v="1"/>
    <x v="1"/>
    <x v="2"/>
    <x v="2"/>
    <x v="0"/>
  </r>
  <r>
    <x v="368"/>
    <x v="236"/>
    <x v="1"/>
    <x v="0"/>
    <x v="0"/>
    <x v="368"/>
    <x v="3"/>
    <x v="5"/>
    <x v="0"/>
    <x v="1"/>
    <x v="3"/>
    <x v="3"/>
    <x v="3"/>
    <x v="0"/>
  </r>
  <r>
    <x v="369"/>
    <x v="146"/>
    <x v="1"/>
    <x v="2"/>
    <x v="2"/>
    <x v="369"/>
    <x v="1"/>
    <x v="1"/>
    <x v="2"/>
    <x v="1"/>
    <x v="2"/>
    <x v="0"/>
    <x v="0"/>
    <x v="0"/>
  </r>
  <r>
    <x v="370"/>
    <x v="237"/>
    <x v="0"/>
    <x v="10"/>
    <x v="0"/>
    <x v="370"/>
    <x v="1"/>
    <x v="4"/>
    <x v="2"/>
    <x v="1"/>
    <x v="3"/>
    <x v="3"/>
    <x v="3"/>
    <x v="0"/>
  </r>
  <r>
    <x v="371"/>
    <x v="46"/>
    <x v="0"/>
    <x v="5"/>
    <x v="2"/>
    <x v="371"/>
    <x v="1"/>
    <x v="3"/>
    <x v="3"/>
    <x v="0"/>
    <x v="1"/>
    <x v="3"/>
    <x v="3"/>
    <x v="0"/>
  </r>
  <r>
    <x v="372"/>
    <x v="238"/>
    <x v="0"/>
    <x v="4"/>
    <x v="2"/>
    <x v="372"/>
    <x v="0"/>
    <x v="6"/>
    <x v="2"/>
    <x v="0"/>
    <x v="0"/>
    <x v="0"/>
    <x v="0"/>
    <x v="0"/>
  </r>
  <r>
    <x v="373"/>
    <x v="239"/>
    <x v="0"/>
    <x v="8"/>
    <x v="0"/>
    <x v="373"/>
    <x v="2"/>
    <x v="0"/>
    <x v="2"/>
    <x v="1"/>
    <x v="3"/>
    <x v="5"/>
    <x v="3"/>
    <x v="0"/>
  </r>
  <r>
    <x v="374"/>
    <x v="105"/>
    <x v="1"/>
    <x v="8"/>
    <x v="2"/>
    <x v="374"/>
    <x v="4"/>
    <x v="2"/>
    <x v="1"/>
    <x v="0"/>
    <x v="2"/>
    <x v="0"/>
    <x v="0"/>
    <x v="0"/>
  </r>
  <r>
    <x v="375"/>
    <x v="240"/>
    <x v="1"/>
    <x v="5"/>
    <x v="0"/>
    <x v="375"/>
    <x v="1"/>
    <x v="1"/>
    <x v="0"/>
    <x v="0"/>
    <x v="3"/>
    <x v="2"/>
    <x v="2"/>
    <x v="0"/>
  </r>
  <r>
    <x v="376"/>
    <x v="234"/>
    <x v="0"/>
    <x v="5"/>
    <x v="0"/>
    <x v="376"/>
    <x v="4"/>
    <x v="0"/>
    <x v="1"/>
    <x v="0"/>
    <x v="2"/>
    <x v="1"/>
    <x v="1"/>
    <x v="0"/>
  </r>
  <r>
    <x v="377"/>
    <x v="50"/>
    <x v="1"/>
    <x v="8"/>
    <x v="0"/>
    <x v="377"/>
    <x v="3"/>
    <x v="2"/>
    <x v="1"/>
    <x v="1"/>
    <x v="5"/>
    <x v="4"/>
    <x v="3"/>
    <x v="0"/>
  </r>
  <r>
    <x v="378"/>
    <x v="193"/>
    <x v="0"/>
    <x v="2"/>
    <x v="2"/>
    <x v="378"/>
    <x v="2"/>
    <x v="3"/>
    <x v="1"/>
    <x v="1"/>
    <x v="3"/>
    <x v="0"/>
    <x v="0"/>
    <x v="0"/>
  </r>
  <r>
    <x v="379"/>
    <x v="29"/>
    <x v="1"/>
    <x v="8"/>
    <x v="1"/>
    <x v="379"/>
    <x v="3"/>
    <x v="6"/>
    <x v="4"/>
    <x v="0"/>
    <x v="0"/>
    <x v="3"/>
    <x v="3"/>
    <x v="0"/>
  </r>
  <r>
    <x v="380"/>
    <x v="241"/>
    <x v="1"/>
    <x v="3"/>
    <x v="0"/>
    <x v="380"/>
    <x v="1"/>
    <x v="2"/>
    <x v="0"/>
    <x v="0"/>
    <x v="3"/>
    <x v="5"/>
    <x v="3"/>
    <x v="0"/>
  </r>
  <r>
    <x v="381"/>
    <x v="101"/>
    <x v="0"/>
    <x v="9"/>
    <x v="2"/>
    <x v="381"/>
    <x v="1"/>
    <x v="2"/>
    <x v="3"/>
    <x v="1"/>
    <x v="1"/>
    <x v="3"/>
    <x v="3"/>
    <x v="0"/>
  </r>
  <r>
    <x v="382"/>
    <x v="53"/>
    <x v="1"/>
    <x v="8"/>
    <x v="2"/>
    <x v="382"/>
    <x v="4"/>
    <x v="6"/>
    <x v="1"/>
    <x v="0"/>
    <x v="2"/>
    <x v="1"/>
    <x v="1"/>
    <x v="0"/>
  </r>
  <r>
    <x v="383"/>
    <x v="242"/>
    <x v="1"/>
    <x v="0"/>
    <x v="0"/>
    <x v="383"/>
    <x v="1"/>
    <x v="5"/>
    <x v="0"/>
    <x v="0"/>
    <x v="5"/>
    <x v="5"/>
    <x v="3"/>
    <x v="0"/>
  </r>
  <r>
    <x v="384"/>
    <x v="243"/>
    <x v="1"/>
    <x v="1"/>
    <x v="2"/>
    <x v="384"/>
    <x v="3"/>
    <x v="4"/>
    <x v="0"/>
    <x v="0"/>
    <x v="4"/>
    <x v="2"/>
    <x v="2"/>
    <x v="0"/>
  </r>
  <r>
    <x v="385"/>
    <x v="140"/>
    <x v="0"/>
    <x v="5"/>
    <x v="2"/>
    <x v="385"/>
    <x v="0"/>
    <x v="2"/>
    <x v="0"/>
    <x v="0"/>
    <x v="1"/>
    <x v="0"/>
    <x v="0"/>
    <x v="0"/>
  </r>
  <r>
    <x v="386"/>
    <x v="98"/>
    <x v="0"/>
    <x v="5"/>
    <x v="0"/>
    <x v="386"/>
    <x v="2"/>
    <x v="1"/>
    <x v="1"/>
    <x v="0"/>
    <x v="0"/>
    <x v="5"/>
    <x v="3"/>
    <x v="0"/>
  </r>
  <r>
    <x v="387"/>
    <x v="32"/>
    <x v="0"/>
    <x v="5"/>
    <x v="0"/>
    <x v="387"/>
    <x v="2"/>
    <x v="3"/>
    <x v="4"/>
    <x v="1"/>
    <x v="1"/>
    <x v="4"/>
    <x v="3"/>
    <x v="0"/>
  </r>
  <r>
    <x v="388"/>
    <x v="156"/>
    <x v="1"/>
    <x v="3"/>
    <x v="2"/>
    <x v="388"/>
    <x v="0"/>
    <x v="6"/>
    <x v="4"/>
    <x v="0"/>
    <x v="0"/>
    <x v="5"/>
    <x v="3"/>
    <x v="0"/>
  </r>
  <r>
    <x v="389"/>
    <x v="155"/>
    <x v="1"/>
    <x v="2"/>
    <x v="0"/>
    <x v="389"/>
    <x v="1"/>
    <x v="1"/>
    <x v="2"/>
    <x v="0"/>
    <x v="3"/>
    <x v="1"/>
    <x v="1"/>
    <x v="0"/>
  </r>
  <r>
    <x v="390"/>
    <x v="73"/>
    <x v="0"/>
    <x v="2"/>
    <x v="2"/>
    <x v="390"/>
    <x v="3"/>
    <x v="3"/>
    <x v="2"/>
    <x v="0"/>
    <x v="2"/>
    <x v="0"/>
    <x v="0"/>
    <x v="0"/>
  </r>
  <r>
    <x v="391"/>
    <x v="55"/>
    <x v="0"/>
    <x v="10"/>
    <x v="2"/>
    <x v="391"/>
    <x v="1"/>
    <x v="2"/>
    <x v="4"/>
    <x v="1"/>
    <x v="3"/>
    <x v="4"/>
    <x v="3"/>
    <x v="0"/>
  </r>
  <r>
    <x v="392"/>
    <x v="232"/>
    <x v="1"/>
    <x v="10"/>
    <x v="2"/>
    <x v="392"/>
    <x v="2"/>
    <x v="5"/>
    <x v="2"/>
    <x v="0"/>
    <x v="5"/>
    <x v="4"/>
    <x v="3"/>
    <x v="0"/>
  </r>
  <r>
    <x v="393"/>
    <x v="244"/>
    <x v="0"/>
    <x v="11"/>
    <x v="0"/>
    <x v="393"/>
    <x v="2"/>
    <x v="3"/>
    <x v="2"/>
    <x v="1"/>
    <x v="0"/>
    <x v="0"/>
    <x v="0"/>
    <x v="0"/>
  </r>
  <r>
    <x v="394"/>
    <x v="128"/>
    <x v="1"/>
    <x v="3"/>
    <x v="0"/>
    <x v="394"/>
    <x v="0"/>
    <x v="1"/>
    <x v="4"/>
    <x v="0"/>
    <x v="5"/>
    <x v="4"/>
    <x v="3"/>
    <x v="0"/>
  </r>
  <r>
    <x v="395"/>
    <x v="17"/>
    <x v="1"/>
    <x v="9"/>
    <x v="1"/>
    <x v="395"/>
    <x v="3"/>
    <x v="2"/>
    <x v="3"/>
    <x v="0"/>
    <x v="3"/>
    <x v="0"/>
    <x v="0"/>
    <x v="0"/>
  </r>
  <r>
    <x v="396"/>
    <x v="155"/>
    <x v="1"/>
    <x v="2"/>
    <x v="0"/>
    <x v="396"/>
    <x v="2"/>
    <x v="6"/>
    <x v="1"/>
    <x v="1"/>
    <x v="2"/>
    <x v="5"/>
    <x v="3"/>
    <x v="0"/>
  </r>
  <r>
    <x v="397"/>
    <x v="65"/>
    <x v="0"/>
    <x v="2"/>
    <x v="0"/>
    <x v="397"/>
    <x v="3"/>
    <x v="6"/>
    <x v="4"/>
    <x v="0"/>
    <x v="3"/>
    <x v="5"/>
    <x v="3"/>
    <x v="0"/>
  </r>
  <r>
    <x v="398"/>
    <x v="245"/>
    <x v="0"/>
    <x v="5"/>
    <x v="2"/>
    <x v="398"/>
    <x v="3"/>
    <x v="2"/>
    <x v="2"/>
    <x v="1"/>
    <x v="3"/>
    <x v="4"/>
    <x v="3"/>
    <x v="0"/>
  </r>
  <r>
    <x v="399"/>
    <x v="246"/>
    <x v="0"/>
    <x v="2"/>
    <x v="0"/>
    <x v="399"/>
    <x v="1"/>
    <x v="5"/>
    <x v="0"/>
    <x v="1"/>
    <x v="2"/>
    <x v="4"/>
    <x v="3"/>
    <x v="0"/>
  </r>
  <r>
    <x v="400"/>
    <x v="176"/>
    <x v="1"/>
    <x v="3"/>
    <x v="0"/>
    <x v="400"/>
    <x v="0"/>
    <x v="6"/>
    <x v="4"/>
    <x v="0"/>
    <x v="2"/>
    <x v="3"/>
    <x v="3"/>
    <x v="0"/>
  </r>
  <r>
    <x v="401"/>
    <x v="23"/>
    <x v="0"/>
    <x v="10"/>
    <x v="2"/>
    <x v="401"/>
    <x v="1"/>
    <x v="5"/>
    <x v="4"/>
    <x v="1"/>
    <x v="2"/>
    <x v="5"/>
    <x v="3"/>
    <x v="0"/>
  </r>
  <r>
    <x v="402"/>
    <x v="136"/>
    <x v="0"/>
    <x v="6"/>
    <x v="2"/>
    <x v="402"/>
    <x v="2"/>
    <x v="1"/>
    <x v="1"/>
    <x v="0"/>
    <x v="3"/>
    <x v="2"/>
    <x v="2"/>
    <x v="0"/>
  </r>
  <r>
    <x v="403"/>
    <x v="144"/>
    <x v="1"/>
    <x v="1"/>
    <x v="0"/>
    <x v="403"/>
    <x v="3"/>
    <x v="2"/>
    <x v="1"/>
    <x v="0"/>
    <x v="5"/>
    <x v="3"/>
    <x v="3"/>
    <x v="0"/>
  </r>
  <r>
    <x v="404"/>
    <x v="121"/>
    <x v="0"/>
    <x v="0"/>
    <x v="0"/>
    <x v="404"/>
    <x v="0"/>
    <x v="5"/>
    <x v="1"/>
    <x v="0"/>
    <x v="4"/>
    <x v="1"/>
    <x v="1"/>
    <x v="0"/>
  </r>
  <r>
    <x v="405"/>
    <x v="45"/>
    <x v="0"/>
    <x v="5"/>
    <x v="0"/>
    <x v="405"/>
    <x v="0"/>
    <x v="6"/>
    <x v="4"/>
    <x v="0"/>
    <x v="2"/>
    <x v="2"/>
    <x v="2"/>
    <x v="0"/>
  </r>
  <r>
    <x v="406"/>
    <x v="247"/>
    <x v="1"/>
    <x v="2"/>
    <x v="0"/>
    <x v="406"/>
    <x v="1"/>
    <x v="6"/>
    <x v="0"/>
    <x v="0"/>
    <x v="4"/>
    <x v="2"/>
    <x v="2"/>
    <x v="0"/>
  </r>
  <r>
    <x v="407"/>
    <x v="77"/>
    <x v="1"/>
    <x v="2"/>
    <x v="2"/>
    <x v="407"/>
    <x v="3"/>
    <x v="0"/>
    <x v="1"/>
    <x v="0"/>
    <x v="1"/>
    <x v="3"/>
    <x v="3"/>
    <x v="0"/>
  </r>
  <r>
    <x v="408"/>
    <x v="49"/>
    <x v="1"/>
    <x v="5"/>
    <x v="0"/>
    <x v="408"/>
    <x v="2"/>
    <x v="1"/>
    <x v="2"/>
    <x v="1"/>
    <x v="2"/>
    <x v="1"/>
    <x v="1"/>
    <x v="0"/>
  </r>
  <r>
    <x v="409"/>
    <x v="171"/>
    <x v="0"/>
    <x v="5"/>
    <x v="0"/>
    <x v="409"/>
    <x v="1"/>
    <x v="4"/>
    <x v="4"/>
    <x v="0"/>
    <x v="1"/>
    <x v="5"/>
    <x v="3"/>
    <x v="0"/>
  </r>
  <r>
    <x v="410"/>
    <x v="205"/>
    <x v="1"/>
    <x v="7"/>
    <x v="1"/>
    <x v="410"/>
    <x v="0"/>
    <x v="5"/>
    <x v="4"/>
    <x v="0"/>
    <x v="5"/>
    <x v="2"/>
    <x v="2"/>
    <x v="0"/>
  </r>
  <r>
    <x v="411"/>
    <x v="140"/>
    <x v="0"/>
    <x v="5"/>
    <x v="2"/>
    <x v="411"/>
    <x v="0"/>
    <x v="4"/>
    <x v="3"/>
    <x v="0"/>
    <x v="1"/>
    <x v="1"/>
    <x v="1"/>
    <x v="0"/>
  </r>
  <r>
    <x v="412"/>
    <x v="206"/>
    <x v="1"/>
    <x v="1"/>
    <x v="0"/>
    <x v="412"/>
    <x v="1"/>
    <x v="0"/>
    <x v="3"/>
    <x v="0"/>
    <x v="0"/>
    <x v="4"/>
    <x v="3"/>
    <x v="0"/>
  </r>
  <r>
    <x v="413"/>
    <x v="248"/>
    <x v="1"/>
    <x v="7"/>
    <x v="0"/>
    <x v="413"/>
    <x v="3"/>
    <x v="2"/>
    <x v="0"/>
    <x v="0"/>
    <x v="1"/>
    <x v="3"/>
    <x v="3"/>
    <x v="0"/>
  </r>
  <r>
    <x v="414"/>
    <x v="148"/>
    <x v="1"/>
    <x v="5"/>
    <x v="0"/>
    <x v="414"/>
    <x v="1"/>
    <x v="2"/>
    <x v="3"/>
    <x v="1"/>
    <x v="4"/>
    <x v="5"/>
    <x v="3"/>
    <x v="0"/>
  </r>
  <r>
    <x v="415"/>
    <x v="35"/>
    <x v="0"/>
    <x v="7"/>
    <x v="2"/>
    <x v="415"/>
    <x v="0"/>
    <x v="0"/>
    <x v="0"/>
    <x v="0"/>
    <x v="4"/>
    <x v="5"/>
    <x v="3"/>
    <x v="0"/>
  </r>
  <r>
    <x v="416"/>
    <x v="249"/>
    <x v="1"/>
    <x v="3"/>
    <x v="2"/>
    <x v="416"/>
    <x v="2"/>
    <x v="0"/>
    <x v="1"/>
    <x v="0"/>
    <x v="5"/>
    <x v="3"/>
    <x v="3"/>
    <x v="0"/>
  </r>
  <r>
    <x v="417"/>
    <x v="246"/>
    <x v="0"/>
    <x v="2"/>
    <x v="0"/>
    <x v="417"/>
    <x v="0"/>
    <x v="4"/>
    <x v="0"/>
    <x v="0"/>
    <x v="4"/>
    <x v="0"/>
    <x v="0"/>
    <x v="0"/>
  </r>
  <r>
    <x v="418"/>
    <x v="109"/>
    <x v="1"/>
    <x v="8"/>
    <x v="2"/>
    <x v="418"/>
    <x v="4"/>
    <x v="5"/>
    <x v="2"/>
    <x v="1"/>
    <x v="5"/>
    <x v="1"/>
    <x v="1"/>
    <x v="0"/>
  </r>
  <r>
    <x v="419"/>
    <x v="133"/>
    <x v="0"/>
    <x v="5"/>
    <x v="1"/>
    <x v="419"/>
    <x v="3"/>
    <x v="5"/>
    <x v="2"/>
    <x v="0"/>
    <x v="4"/>
    <x v="3"/>
    <x v="3"/>
    <x v="0"/>
  </r>
  <r>
    <x v="420"/>
    <x v="250"/>
    <x v="0"/>
    <x v="3"/>
    <x v="2"/>
    <x v="420"/>
    <x v="3"/>
    <x v="6"/>
    <x v="3"/>
    <x v="0"/>
    <x v="1"/>
    <x v="1"/>
    <x v="1"/>
    <x v="0"/>
  </r>
  <r>
    <x v="421"/>
    <x v="221"/>
    <x v="1"/>
    <x v="0"/>
    <x v="2"/>
    <x v="421"/>
    <x v="0"/>
    <x v="2"/>
    <x v="1"/>
    <x v="0"/>
    <x v="5"/>
    <x v="5"/>
    <x v="3"/>
    <x v="0"/>
  </r>
  <r>
    <x v="422"/>
    <x v="251"/>
    <x v="1"/>
    <x v="3"/>
    <x v="2"/>
    <x v="422"/>
    <x v="4"/>
    <x v="2"/>
    <x v="2"/>
    <x v="1"/>
    <x v="4"/>
    <x v="1"/>
    <x v="1"/>
    <x v="0"/>
  </r>
  <r>
    <x v="423"/>
    <x v="29"/>
    <x v="1"/>
    <x v="8"/>
    <x v="1"/>
    <x v="423"/>
    <x v="2"/>
    <x v="3"/>
    <x v="2"/>
    <x v="0"/>
    <x v="3"/>
    <x v="0"/>
    <x v="0"/>
    <x v="0"/>
  </r>
  <r>
    <x v="424"/>
    <x v="252"/>
    <x v="1"/>
    <x v="10"/>
    <x v="0"/>
    <x v="424"/>
    <x v="3"/>
    <x v="6"/>
    <x v="4"/>
    <x v="1"/>
    <x v="2"/>
    <x v="1"/>
    <x v="1"/>
    <x v="0"/>
  </r>
  <r>
    <x v="425"/>
    <x v="41"/>
    <x v="1"/>
    <x v="8"/>
    <x v="2"/>
    <x v="425"/>
    <x v="3"/>
    <x v="1"/>
    <x v="0"/>
    <x v="0"/>
    <x v="4"/>
    <x v="4"/>
    <x v="3"/>
    <x v="0"/>
  </r>
  <r>
    <x v="426"/>
    <x v="189"/>
    <x v="1"/>
    <x v="10"/>
    <x v="0"/>
    <x v="426"/>
    <x v="2"/>
    <x v="4"/>
    <x v="2"/>
    <x v="1"/>
    <x v="0"/>
    <x v="5"/>
    <x v="3"/>
    <x v="0"/>
  </r>
  <r>
    <x v="427"/>
    <x v="253"/>
    <x v="1"/>
    <x v="0"/>
    <x v="0"/>
    <x v="427"/>
    <x v="3"/>
    <x v="3"/>
    <x v="0"/>
    <x v="1"/>
    <x v="4"/>
    <x v="3"/>
    <x v="3"/>
    <x v="0"/>
  </r>
  <r>
    <x v="428"/>
    <x v="254"/>
    <x v="1"/>
    <x v="5"/>
    <x v="0"/>
    <x v="428"/>
    <x v="3"/>
    <x v="3"/>
    <x v="1"/>
    <x v="0"/>
    <x v="1"/>
    <x v="3"/>
    <x v="3"/>
    <x v="0"/>
  </r>
  <r>
    <x v="429"/>
    <x v="224"/>
    <x v="1"/>
    <x v="8"/>
    <x v="1"/>
    <x v="429"/>
    <x v="1"/>
    <x v="0"/>
    <x v="0"/>
    <x v="1"/>
    <x v="1"/>
    <x v="1"/>
    <x v="1"/>
    <x v="0"/>
  </r>
  <r>
    <x v="430"/>
    <x v="255"/>
    <x v="1"/>
    <x v="5"/>
    <x v="0"/>
    <x v="430"/>
    <x v="3"/>
    <x v="3"/>
    <x v="3"/>
    <x v="1"/>
    <x v="1"/>
    <x v="0"/>
    <x v="0"/>
    <x v="0"/>
  </r>
  <r>
    <x v="431"/>
    <x v="125"/>
    <x v="1"/>
    <x v="5"/>
    <x v="0"/>
    <x v="431"/>
    <x v="4"/>
    <x v="2"/>
    <x v="2"/>
    <x v="0"/>
    <x v="5"/>
    <x v="4"/>
    <x v="3"/>
    <x v="0"/>
  </r>
  <r>
    <x v="432"/>
    <x v="91"/>
    <x v="1"/>
    <x v="4"/>
    <x v="2"/>
    <x v="432"/>
    <x v="4"/>
    <x v="1"/>
    <x v="4"/>
    <x v="0"/>
    <x v="5"/>
    <x v="3"/>
    <x v="3"/>
    <x v="0"/>
  </r>
  <r>
    <x v="433"/>
    <x v="16"/>
    <x v="0"/>
    <x v="9"/>
    <x v="2"/>
    <x v="433"/>
    <x v="2"/>
    <x v="4"/>
    <x v="0"/>
    <x v="0"/>
    <x v="4"/>
    <x v="5"/>
    <x v="3"/>
    <x v="0"/>
  </r>
  <r>
    <x v="434"/>
    <x v="85"/>
    <x v="0"/>
    <x v="5"/>
    <x v="1"/>
    <x v="434"/>
    <x v="2"/>
    <x v="3"/>
    <x v="1"/>
    <x v="0"/>
    <x v="4"/>
    <x v="0"/>
    <x v="0"/>
    <x v="0"/>
  </r>
  <r>
    <x v="435"/>
    <x v="199"/>
    <x v="1"/>
    <x v="10"/>
    <x v="2"/>
    <x v="435"/>
    <x v="1"/>
    <x v="5"/>
    <x v="4"/>
    <x v="1"/>
    <x v="2"/>
    <x v="0"/>
    <x v="0"/>
    <x v="0"/>
  </r>
  <r>
    <x v="436"/>
    <x v="144"/>
    <x v="1"/>
    <x v="1"/>
    <x v="0"/>
    <x v="436"/>
    <x v="4"/>
    <x v="1"/>
    <x v="2"/>
    <x v="1"/>
    <x v="4"/>
    <x v="4"/>
    <x v="3"/>
    <x v="0"/>
  </r>
  <r>
    <x v="437"/>
    <x v="145"/>
    <x v="1"/>
    <x v="5"/>
    <x v="2"/>
    <x v="437"/>
    <x v="4"/>
    <x v="1"/>
    <x v="1"/>
    <x v="0"/>
    <x v="3"/>
    <x v="3"/>
    <x v="3"/>
    <x v="0"/>
  </r>
  <r>
    <x v="438"/>
    <x v="134"/>
    <x v="1"/>
    <x v="0"/>
    <x v="2"/>
    <x v="438"/>
    <x v="1"/>
    <x v="1"/>
    <x v="0"/>
    <x v="1"/>
    <x v="4"/>
    <x v="0"/>
    <x v="0"/>
    <x v="0"/>
  </r>
  <r>
    <x v="439"/>
    <x v="256"/>
    <x v="1"/>
    <x v="10"/>
    <x v="0"/>
    <x v="439"/>
    <x v="0"/>
    <x v="4"/>
    <x v="3"/>
    <x v="0"/>
    <x v="3"/>
    <x v="1"/>
    <x v="1"/>
    <x v="0"/>
  </r>
  <r>
    <x v="440"/>
    <x v="7"/>
    <x v="1"/>
    <x v="6"/>
    <x v="2"/>
    <x v="440"/>
    <x v="4"/>
    <x v="0"/>
    <x v="3"/>
    <x v="0"/>
    <x v="3"/>
    <x v="0"/>
    <x v="0"/>
    <x v="0"/>
  </r>
  <r>
    <x v="441"/>
    <x v="109"/>
    <x v="1"/>
    <x v="8"/>
    <x v="2"/>
    <x v="441"/>
    <x v="3"/>
    <x v="6"/>
    <x v="3"/>
    <x v="1"/>
    <x v="5"/>
    <x v="5"/>
    <x v="3"/>
    <x v="0"/>
  </r>
  <r>
    <x v="442"/>
    <x v="257"/>
    <x v="1"/>
    <x v="10"/>
    <x v="0"/>
    <x v="442"/>
    <x v="3"/>
    <x v="1"/>
    <x v="4"/>
    <x v="0"/>
    <x v="2"/>
    <x v="1"/>
    <x v="1"/>
    <x v="0"/>
  </r>
  <r>
    <x v="443"/>
    <x v="117"/>
    <x v="1"/>
    <x v="2"/>
    <x v="2"/>
    <x v="443"/>
    <x v="3"/>
    <x v="3"/>
    <x v="0"/>
    <x v="0"/>
    <x v="3"/>
    <x v="4"/>
    <x v="3"/>
    <x v="0"/>
  </r>
  <r>
    <x v="444"/>
    <x v="226"/>
    <x v="1"/>
    <x v="10"/>
    <x v="2"/>
    <x v="444"/>
    <x v="1"/>
    <x v="1"/>
    <x v="0"/>
    <x v="0"/>
    <x v="3"/>
    <x v="2"/>
    <x v="2"/>
    <x v="0"/>
  </r>
  <r>
    <x v="445"/>
    <x v="159"/>
    <x v="1"/>
    <x v="1"/>
    <x v="1"/>
    <x v="445"/>
    <x v="3"/>
    <x v="0"/>
    <x v="3"/>
    <x v="1"/>
    <x v="3"/>
    <x v="1"/>
    <x v="1"/>
    <x v="0"/>
  </r>
  <r>
    <x v="446"/>
    <x v="258"/>
    <x v="1"/>
    <x v="5"/>
    <x v="0"/>
    <x v="446"/>
    <x v="0"/>
    <x v="6"/>
    <x v="4"/>
    <x v="0"/>
    <x v="0"/>
    <x v="5"/>
    <x v="3"/>
    <x v="0"/>
  </r>
  <r>
    <x v="447"/>
    <x v="181"/>
    <x v="1"/>
    <x v="8"/>
    <x v="2"/>
    <x v="447"/>
    <x v="0"/>
    <x v="0"/>
    <x v="2"/>
    <x v="0"/>
    <x v="2"/>
    <x v="0"/>
    <x v="0"/>
    <x v="0"/>
  </r>
  <r>
    <x v="448"/>
    <x v="70"/>
    <x v="1"/>
    <x v="8"/>
    <x v="0"/>
    <x v="448"/>
    <x v="2"/>
    <x v="1"/>
    <x v="4"/>
    <x v="1"/>
    <x v="3"/>
    <x v="5"/>
    <x v="3"/>
    <x v="0"/>
  </r>
  <r>
    <x v="449"/>
    <x v="146"/>
    <x v="1"/>
    <x v="2"/>
    <x v="2"/>
    <x v="449"/>
    <x v="1"/>
    <x v="1"/>
    <x v="1"/>
    <x v="1"/>
    <x v="0"/>
    <x v="0"/>
    <x v="0"/>
    <x v="0"/>
  </r>
  <r>
    <x v="450"/>
    <x v="259"/>
    <x v="1"/>
    <x v="4"/>
    <x v="0"/>
    <x v="450"/>
    <x v="4"/>
    <x v="0"/>
    <x v="0"/>
    <x v="0"/>
    <x v="2"/>
    <x v="3"/>
    <x v="3"/>
    <x v="0"/>
  </r>
  <r>
    <x v="451"/>
    <x v="260"/>
    <x v="1"/>
    <x v="1"/>
    <x v="1"/>
    <x v="451"/>
    <x v="0"/>
    <x v="2"/>
    <x v="0"/>
    <x v="0"/>
    <x v="0"/>
    <x v="4"/>
    <x v="3"/>
    <x v="0"/>
  </r>
  <r>
    <x v="452"/>
    <x v="44"/>
    <x v="1"/>
    <x v="4"/>
    <x v="0"/>
    <x v="452"/>
    <x v="0"/>
    <x v="1"/>
    <x v="3"/>
    <x v="0"/>
    <x v="3"/>
    <x v="2"/>
    <x v="2"/>
    <x v="0"/>
  </r>
  <r>
    <x v="453"/>
    <x v="49"/>
    <x v="1"/>
    <x v="5"/>
    <x v="0"/>
    <x v="453"/>
    <x v="1"/>
    <x v="2"/>
    <x v="2"/>
    <x v="1"/>
    <x v="0"/>
    <x v="4"/>
    <x v="3"/>
    <x v="0"/>
  </r>
  <r>
    <x v="454"/>
    <x v="261"/>
    <x v="1"/>
    <x v="4"/>
    <x v="2"/>
    <x v="454"/>
    <x v="2"/>
    <x v="4"/>
    <x v="1"/>
    <x v="0"/>
    <x v="1"/>
    <x v="2"/>
    <x v="2"/>
    <x v="0"/>
  </r>
  <r>
    <x v="455"/>
    <x v="7"/>
    <x v="1"/>
    <x v="6"/>
    <x v="2"/>
    <x v="455"/>
    <x v="4"/>
    <x v="5"/>
    <x v="2"/>
    <x v="1"/>
    <x v="2"/>
    <x v="3"/>
    <x v="3"/>
    <x v="0"/>
  </r>
  <r>
    <x v="456"/>
    <x v="156"/>
    <x v="1"/>
    <x v="3"/>
    <x v="2"/>
    <x v="456"/>
    <x v="0"/>
    <x v="2"/>
    <x v="4"/>
    <x v="0"/>
    <x v="4"/>
    <x v="1"/>
    <x v="1"/>
    <x v="0"/>
  </r>
  <r>
    <x v="457"/>
    <x v="137"/>
    <x v="1"/>
    <x v="2"/>
    <x v="0"/>
    <x v="457"/>
    <x v="0"/>
    <x v="5"/>
    <x v="0"/>
    <x v="0"/>
    <x v="2"/>
    <x v="1"/>
    <x v="1"/>
    <x v="0"/>
  </r>
  <r>
    <x v="458"/>
    <x v="200"/>
    <x v="1"/>
    <x v="3"/>
    <x v="2"/>
    <x v="458"/>
    <x v="1"/>
    <x v="5"/>
    <x v="0"/>
    <x v="1"/>
    <x v="2"/>
    <x v="2"/>
    <x v="2"/>
    <x v="0"/>
  </r>
  <r>
    <x v="459"/>
    <x v="78"/>
    <x v="1"/>
    <x v="3"/>
    <x v="1"/>
    <x v="459"/>
    <x v="2"/>
    <x v="3"/>
    <x v="2"/>
    <x v="0"/>
    <x v="5"/>
    <x v="0"/>
    <x v="0"/>
    <x v="0"/>
  </r>
  <r>
    <x v="460"/>
    <x v="139"/>
    <x v="1"/>
    <x v="8"/>
    <x v="1"/>
    <x v="460"/>
    <x v="0"/>
    <x v="0"/>
    <x v="4"/>
    <x v="0"/>
    <x v="2"/>
    <x v="5"/>
    <x v="3"/>
    <x v="0"/>
  </r>
  <r>
    <x v="461"/>
    <x v="61"/>
    <x v="1"/>
    <x v="8"/>
    <x v="0"/>
    <x v="461"/>
    <x v="3"/>
    <x v="5"/>
    <x v="2"/>
    <x v="1"/>
    <x v="4"/>
    <x v="1"/>
    <x v="1"/>
    <x v="0"/>
  </r>
  <r>
    <x v="462"/>
    <x v="262"/>
    <x v="0"/>
    <x v="4"/>
    <x v="0"/>
    <x v="462"/>
    <x v="2"/>
    <x v="1"/>
    <x v="0"/>
    <x v="0"/>
    <x v="3"/>
    <x v="4"/>
    <x v="3"/>
    <x v="0"/>
  </r>
  <r>
    <x v="463"/>
    <x v="18"/>
    <x v="1"/>
    <x v="4"/>
    <x v="2"/>
    <x v="463"/>
    <x v="1"/>
    <x v="1"/>
    <x v="3"/>
    <x v="0"/>
    <x v="4"/>
    <x v="4"/>
    <x v="3"/>
    <x v="0"/>
  </r>
  <r>
    <x v="464"/>
    <x v="263"/>
    <x v="1"/>
    <x v="8"/>
    <x v="2"/>
    <x v="464"/>
    <x v="0"/>
    <x v="2"/>
    <x v="1"/>
    <x v="0"/>
    <x v="5"/>
    <x v="5"/>
    <x v="3"/>
    <x v="0"/>
  </r>
  <r>
    <x v="465"/>
    <x v="100"/>
    <x v="0"/>
    <x v="8"/>
    <x v="0"/>
    <x v="465"/>
    <x v="3"/>
    <x v="3"/>
    <x v="0"/>
    <x v="0"/>
    <x v="4"/>
    <x v="4"/>
    <x v="3"/>
    <x v="0"/>
  </r>
  <r>
    <x v="466"/>
    <x v="25"/>
    <x v="1"/>
    <x v="9"/>
    <x v="2"/>
    <x v="466"/>
    <x v="3"/>
    <x v="6"/>
    <x v="0"/>
    <x v="1"/>
    <x v="0"/>
    <x v="3"/>
    <x v="3"/>
    <x v="0"/>
  </r>
  <r>
    <x v="467"/>
    <x v="257"/>
    <x v="1"/>
    <x v="10"/>
    <x v="0"/>
    <x v="467"/>
    <x v="0"/>
    <x v="2"/>
    <x v="1"/>
    <x v="0"/>
    <x v="3"/>
    <x v="5"/>
    <x v="3"/>
    <x v="0"/>
  </r>
  <r>
    <x v="468"/>
    <x v="224"/>
    <x v="1"/>
    <x v="8"/>
    <x v="1"/>
    <x v="468"/>
    <x v="4"/>
    <x v="0"/>
    <x v="0"/>
    <x v="0"/>
    <x v="1"/>
    <x v="1"/>
    <x v="1"/>
    <x v="0"/>
  </r>
  <r>
    <x v="469"/>
    <x v="264"/>
    <x v="0"/>
    <x v="10"/>
    <x v="2"/>
    <x v="469"/>
    <x v="1"/>
    <x v="6"/>
    <x v="0"/>
    <x v="0"/>
    <x v="2"/>
    <x v="4"/>
    <x v="3"/>
    <x v="0"/>
  </r>
  <r>
    <x v="470"/>
    <x v="49"/>
    <x v="1"/>
    <x v="5"/>
    <x v="0"/>
    <x v="470"/>
    <x v="1"/>
    <x v="0"/>
    <x v="3"/>
    <x v="1"/>
    <x v="3"/>
    <x v="1"/>
    <x v="1"/>
    <x v="0"/>
  </r>
  <r>
    <x v="471"/>
    <x v="94"/>
    <x v="1"/>
    <x v="5"/>
    <x v="2"/>
    <x v="471"/>
    <x v="1"/>
    <x v="1"/>
    <x v="2"/>
    <x v="0"/>
    <x v="0"/>
    <x v="5"/>
    <x v="3"/>
    <x v="0"/>
  </r>
  <r>
    <x v="472"/>
    <x v="28"/>
    <x v="0"/>
    <x v="1"/>
    <x v="0"/>
    <x v="472"/>
    <x v="0"/>
    <x v="4"/>
    <x v="4"/>
    <x v="0"/>
    <x v="5"/>
    <x v="3"/>
    <x v="3"/>
    <x v="0"/>
  </r>
  <r>
    <x v="473"/>
    <x v="212"/>
    <x v="1"/>
    <x v="5"/>
    <x v="1"/>
    <x v="473"/>
    <x v="4"/>
    <x v="0"/>
    <x v="4"/>
    <x v="1"/>
    <x v="1"/>
    <x v="5"/>
    <x v="3"/>
    <x v="0"/>
  </r>
  <r>
    <x v="474"/>
    <x v="23"/>
    <x v="0"/>
    <x v="10"/>
    <x v="2"/>
    <x v="474"/>
    <x v="0"/>
    <x v="3"/>
    <x v="3"/>
    <x v="0"/>
    <x v="1"/>
    <x v="5"/>
    <x v="3"/>
    <x v="0"/>
  </r>
  <r>
    <x v="475"/>
    <x v="63"/>
    <x v="1"/>
    <x v="6"/>
    <x v="0"/>
    <x v="475"/>
    <x v="3"/>
    <x v="4"/>
    <x v="0"/>
    <x v="1"/>
    <x v="2"/>
    <x v="3"/>
    <x v="3"/>
    <x v="0"/>
  </r>
  <r>
    <x v="476"/>
    <x v="249"/>
    <x v="1"/>
    <x v="3"/>
    <x v="2"/>
    <x v="476"/>
    <x v="2"/>
    <x v="2"/>
    <x v="2"/>
    <x v="1"/>
    <x v="2"/>
    <x v="5"/>
    <x v="3"/>
    <x v="0"/>
  </r>
  <r>
    <x v="477"/>
    <x v="205"/>
    <x v="1"/>
    <x v="7"/>
    <x v="1"/>
    <x v="477"/>
    <x v="0"/>
    <x v="3"/>
    <x v="4"/>
    <x v="0"/>
    <x v="2"/>
    <x v="1"/>
    <x v="1"/>
    <x v="0"/>
  </r>
  <r>
    <x v="478"/>
    <x v="150"/>
    <x v="1"/>
    <x v="5"/>
    <x v="1"/>
    <x v="478"/>
    <x v="2"/>
    <x v="6"/>
    <x v="0"/>
    <x v="0"/>
    <x v="2"/>
    <x v="5"/>
    <x v="3"/>
    <x v="0"/>
  </r>
  <r>
    <x v="479"/>
    <x v="17"/>
    <x v="1"/>
    <x v="9"/>
    <x v="1"/>
    <x v="479"/>
    <x v="2"/>
    <x v="2"/>
    <x v="3"/>
    <x v="1"/>
    <x v="5"/>
    <x v="3"/>
    <x v="3"/>
    <x v="0"/>
  </r>
  <r>
    <x v="480"/>
    <x v="77"/>
    <x v="1"/>
    <x v="2"/>
    <x v="2"/>
    <x v="480"/>
    <x v="3"/>
    <x v="5"/>
    <x v="1"/>
    <x v="0"/>
    <x v="2"/>
    <x v="1"/>
    <x v="1"/>
    <x v="0"/>
  </r>
  <r>
    <x v="481"/>
    <x v="203"/>
    <x v="1"/>
    <x v="4"/>
    <x v="2"/>
    <x v="481"/>
    <x v="2"/>
    <x v="3"/>
    <x v="4"/>
    <x v="0"/>
    <x v="3"/>
    <x v="3"/>
    <x v="3"/>
    <x v="0"/>
  </r>
  <r>
    <x v="482"/>
    <x v="94"/>
    <x v="1"/>
    <x v="5"/>
    <x v="2"/>
    <x v="482"/>
    <x v="3"/>
    <x v="4"/>
    <x v="4"/>
    <x v="0"/>
    <x v="3"/>
    <x v="5"/>
    <x v="3"/>
    <x v="0"/>
  </r>
  <r>
    <x v="483"/>
    <x v="118"/>
    <x v="1"/>
    <x v="7"/>
    <x v="2"/>
    <x v="483"/>
    <x v="0"/>
    <x v="5"/>
    <x v="2"/>
    <x v="0"/>
    <x v="1"/>
    <x v="0"/>
    <x v="0"/>
    <x v="0"/>
  </r>
  <r>
    <x v="484"/>
    <x v="235"/>
    <x v="0"/>
    <x v="5"/>
    <x v="0"/>
    <x v="484"/>
    <x v="3"/>
    <x v="3"/>
    <x v="3"/>
    <x v="0"/>
    <x v="3"/>
    <x v="2"/>
    <x v="2"/>
    <x v="0"/>
  </r>
  <r>
    <x v="485"/>
    <x v="265"/>
    <x v="1"/>
    <x v="5"/>
    <x v="2"/>
    <x v="485"/>
    <x v="1"/>
    <x v="0"/>
    <x v="1"/>
    <x v="0"/>
    <x v="4"/>
    <x v="4"/>
    <x v="3"/>
    <x v="0"/>
  </r>
  <r>
    <x v="486"/>
    <x v="266"/>
    <x v="1"/>
    <x v="1"/>
    <x v="0"/>
    <x v="486"/>
    <x v="2"/>
    <x v="3"/>
    <x v="2"/>
    <x v="1"/>
    <x v="5"/>
    <x v="0"/>
    <x v="0"/>
    <x v="0"/>
  </r>
  <r>
    <x v="487"/>
    <x v="252"/>
    <x v="1"/>
    <x v="10"/>
    <x v="0"/>
    <x v="487"/>
    <x v="3"/>
    <x v="5"/>
    <x v="3"/>
    <x v="0"/>
    <x v="4"/>
    <x v="4"/>
    <x v="3"/>
    <x v="0"/>
  </r>
  <r>
    <x v="488"/>
    <x v="68"/>
    <x v="0"/>
    <x v="8"/>
    <x v="2"/>
    <x v="488"/>
    <x v="2"/>
    <x v="1"/>
    <x v="3"/>
    <x v="1"/>
    <x v="4"/>
    <x v="3"/>
    <x v="3"/>
    <x v="0"/>
  </r>
  <r>
    <x v="489"/>
    <x v="197"/>
    <x v="0"/>
    <x v="7"/>
    <x v="2"/>
    <x v="489"/>
    <x v="3"/>
    <x v="6"/>
    <x v="3"/>
    <x v="1"/>
    <x v="0"/>
    <x v="3"/>
    <x v="3"/>
    <x v="0"/>
  </r>
  <r>
    <x v="490"/>
    <x v="63"/>
    <x v="1"/>
    <x v="6"/>
    <x v="0"/>
    <x v="490"/>
    <x v="1"/>
    <x v="6"/>
    <x v="0"/>
    <x v="0"/>
    <x v="1"/>
    <x v="4"/>
    <x v="3"/>
    <x v="0"/>
  </r>
  <r>
    <x v="491"/>
    <x v="267"/>
    <x v="1"/>
    <x v="10"/>
    <x v="2"/>
    <x v="491"/>
    <x v="4"/>
    <x v="2"/>
    <x v="4"/>
    <x v="1"/>
    <x v="3"/>
    <x v="0"/>
    <x v="0"/>
    <x v="0"/>
  </r>
  <r>
    <x v="492"/>
    <x v="268"/>
    <x v="1"/>
    <x v="5"/>
    <x v="2"/>
    <x v="492"/>
    <x v="2"/>
    <x v="1"/>
    <x v="2"/>
    <x v="0"/>
    <x v="3"/>
    <x v="0"/>
    <x v="0"/>
    <x v="0"/>
  </r>
  <r>
    <x v="493"/>
    <x v="103"/>
    <x v="0"/>
    <x v="4"/>
    <x v="2"/>
    <x v="493"/>
    <x v="0"/>
    <x v="4"/>
    <x v="1"/>
    <x v="0"/>
    <x v="3"/>
    <x v="1"/>
    <x v="1"/>
    <x v="0"/>
  </r>
  <r>
    <x v="494"/>
    <x v="222"/>
    <x v="0"/>
    <x v="0"/>
    <x v="2"/>
    <x v="494"/>
    <x v="2"/>
    <x v="0"/>
    <x v="3"/>
    <x v="0"/>
    <x v="2"/>
    <x v="0"/>
    <x v="0"/>
    <x v="0"/>
  </r>
  <r>
    <x v="495"/>
    <x v="238"/>
    <x v="0"/>
    <x v="4"/>
    <x v="2"/>
    <x v="495"/>
    <x v="3"/>
    <x v="4"/>
    <x v="2"/>
    <x v="1"/>
    <x v="3"/>
    <x v="2"/>
    <x v="2"/>
    <x v="0"/>
  </r>
  <r>
    <x v="496"/>
    <x v="205"/>
    <x v="1"/>
    <x v="7"/>
    <x v="1"/>
    <x v="496"/>
    <x v="4"/>
    <x v="3"/>
    <x v="0"/>
    <x v="1"/>
    <x v="3"/>
    <x v="3"/>
    <x v="3"/>
    <x v="0"/>
  </r>
  <r>
    <x v="497"/>
    <x v="189"/>
    <x v="1"/>
    <x v="10"/>
    <x v="0"/>
    <x v="497"/>
    <x v="3"/>
    <x v="0"/>
    <x v="1"/>
    <x v="0"/>
    <x v="1"/>
    <x v="5"/>
    <x v="3"/>
    <x v="0"/>
  </r>
  <r>
    <x v="498"/>
    <x v="269"/>
    <x v="0"/>
    <x v="6"/>
    <x v="0"/>
    <x v="498"/>
    <x v="3"/>
    <x v="3"/>
    <x v="0"/>
    <x v="0"/>
    <x v="2"/>
    <x v="4"/>
    <x v="3"/>
    <x v="0"/>
  </r>
  <r>
    <x v="499"/>
    <x v="270"/>
    <x v="1"/>
    <x v="5"/>
    <x v="1"/>
    <x v="499"/>
    <x v="4"/>
    <x v="3"/>
    <x v="1"/>
    <x v="0"/>
    <x v="5"/>
    <x v="2"/>
    <x v="2"/>
    <x v="0"/>
  </r>
  <r>
    <x v="500"/>
    <x v="254"/>
    <x v="1"/>
    <x v="5"/>
    <x v="0"/>
    <x v="500"/>
    <x v="4"/>
    <x v="5"/>
    <x v="1"/>
    <x v="0"/>
    <x v="1"/>
    <x v="5"/>
    <x v="3"/>
    <x v="0"/>
  </r>
  <r>
    <x v="501"/>
    <x v="83"/>
    <x v="1"/>
    <x v="8"/>
    <x v="1"/>
    <x v="501"/>
    <x v="0"/>
    <x v="4"/>
    <x v="4"/>
    <x v="0"/>
    <x v="2"/>
    <x v="0"/>
    <x v="0"/>
    <x v="0"/>
  </r>
  <r>
    <x v="502"/>
    <x v="271"/>
    <x v="1"/>
    <x v="9"/>
    <x v="2"/>
    <x v="502"/>
    <x v="3"/>
    <x v="2"/>
    <x v="2"/>
    <x v="1"/>
    <x v="5"/>
    <x v="2"/>
    <x v="2"/>
    <x v="0"/>
  </r>
  <r>
    <x v="503"/>
    <x v="22"/>
    <x v="1"/>
    <x v="2"/>
    <x v="0"/>
    <x v="503"/>
    <x v="4"/>
    <x v="1"/>
    <x v="3"/>
    <x v="0"/>
    <x v="1"/>
    <x v="2"/>
    <x v="2"/>
    <x v="0"/>
  </r>
  <r>
    <x v="504"/>
    <x v="16"/>
    <x v="0"/>
    <x v="9"/>
    <x v="2"/>
    <x v="504"/>
    <x v="1"/>
    <x v="5"/>
    <x v="3"/>
    <x v="1"/>
    <x v="3"/>
    <x v="0"/>
    <x v="0"/>
    <x v="0"/>
  </r>
  <r>
    <x v="505"/>
    <x v="272"/>
    <x v="1"/>
    <x v="7"/>
    <x v="0"/>
    <x v="505"/>
    <x v="3"/>
    <x v="6"/>
    <x v="1"/>
    <x v="0"/>
    <x v="2"/>
    <x v="3"/>
    <x v="3"/>
    <x v="0"/>
  </r>
  <r>
    <x v="506"/>
    <x v="23"/>
    <x v="0"/>
    <x v="10"/>
    <x v="2"/>
    <x v="506"/>
    <x v="2"/>
    <x v="3"/>
    <x v="1"/>
    <x v="1"/>
    <x v="3"/>
    <x v="5"/>
    <x v="3"/>
    <x v="0"/>
  </r>
  <r>
    <x v="507"/>
    <x v="273"/>
    <x v="1"/>
    <x v="4"/>
    <x v="0"/>
    <x v="507"/>
    <x v="2"/>
    <x v="2"/>
    <x v="2"/>
    <x v="0"/>
    <x v="4"/>
    <x v="5"/>
    <x v="3"/>
    <x v="0"/>
  </r>
  <r>
    <x v="508"/>
    <x v="74"/>
    <x v="1"/>
    <x v="6"/>
    <x v="0"/>
    <x v="508"/>
    <x v="1"/>
    <x v="4"/>
    <x v="2"/>
    <x v="0"/>
    <x v="5"/>
    <x v="0"/>
    <x v="0"/>
    <x v="0"/>
  </r>
  <r>
    <x v="509"/>
    <x v="158"/>
    <x v="1"/>
    <x v="8"/>
    <x v="0"/>
    <x v="509"/>
    <x v="2"/>
    <x v="0"/>
    <x v="3"/>
    <x v="0"/>
    <x v="4"/>
    <x v="0"/>
    <x v="0"/>
    <x v="0"/>
  </r>
  <r>
    <x v="510"/>
    <x v="274"/>
    <x v="1"/>
    <x v="4"/>
    <x v="0"/>
    <x v="510"/>
    <x v="4"/>
    <x v="3"/>
    <x v="3"/>
    <x v="1"/>
    <x v="2"/>
    <x v="5"/>
    <x v="3"/>
    <x v="0"/>
  </r>
  <r>
    <x v="511"/>
    <x v="244"/>
    <x v="0"/>
    <x v="11"/>
    <x v="0"/>
    <x v="511"/>
    <x v="2"/>
    <x v="4"/>
    <x v="3"/>
    <x v="0"/>
    <x v="3"/>
    <x v="0"/>
    <x v="0"/>
    <x v="0"/>
  </r>
  <r>
    <x v="512"/>
    <x v="275"/>
    <x v="1"/>
    <x v="3"/>
    <x v="2"/>
    <x v="512"/>
    <x v="1"/>
    <x v="6"/>
    <x v="4"/>
    <x v="1"/>
    <x v="0"/>
    <x v="5"/>
    <x v="3"/>
    <x v="0"/>
  </r>
  <r>
    <x v="513"/>
    <x v="276"/>
    <x v="1"/>
    <x v="7"/>
    <x v="2"/>
    <x v="513"/>
    <x v="0"/>
    <x v="4"/>
    <x v="1"/>
    <x v="0"/>
    <x v="0"/>
    <x v="1"/>
    <x v="1"/>
    <x v="0"/>
  </r>
  <r>
    <x v="514"/>
    <x v="120"/>
    <x v="1"/>
    <x v="7"/>
    <x v="0"/>
    <x v="514"/>
    <x v="3"/>
    <x v="1"/>
    <x v="4"/>
    <x v="1"/>
    <x v="3"/>
    <x v="0"/>
    <x v="0"/>
    <x v="0"/>
  </r>
  <r>
    <x v="515"/>
    <x v="277"/>
    <x v="1"/>
    <x v="6"/>
    <x v="2"/>
    <x v="515"/>
    <x v="1"/>
    <x v="5"/>
    <x v="1"/>
    <x v="1"/>
    <x v="5"/>
    <x v="1"/>
    <x v="1"/>
    <x v="0"/>
  </r>
  <r>
    <x v="516"/>
    <x v="226"/>
    <x v="1"/>
    <x v="10"/>
    <x v="2"/>
    <x v="516"/>
    <x v="0"/>
    <x v="0"/>
    <x v="4"/>
    <x v="0"/>
    <x v="4"/>
    <x v="4"/>
    <x v="3"/>
    <x v="0"/>
  </r>
  <r>
    <x v="517"/>
    <x v="278"/>
    <x v="1"/>
    <x v="10"/>
    <x v="2"/>
    <x v="517"/>
    <x v="4"/>
    <x v="2"/>
    <x v="0"/>
    <x v="1"/>
    <x v="4"/>
    <x v="4"/>
    <x v="3"/>
    <x v="0"/>
  </r>
  <r>
    <x v="518"/>
    <x v="279"/>
    <x v="1"/>
    <x v="8"/>
    <x v="2"/>
    <x v="518"/>
    <x v="0"/>
    <x v="3"/>
    <x v="3"/>
    <x v="0"/>
    <x v="4"/>
    <x v="0"/>
    <x v="0"/>
    <x v="0"/>
  </r>
  <r>
    <x v="519"/>
    <x v="210"/>
    <x v="1"/>
    <x v="4"/>
    <x v="2"/>
    <x v="519"/>
    <x v="3"/>
    <x v="4"/>
    <x v="2"/>
    <x v="0"/>
    <x v="2"/>
    <x v="4"/>
    <x v="3"/>
    <x v="0"/>
  </r>
  <r>
    <x v="520"/>
    <x v="115"/>
    <x v="1"/>
    <x v="8"/>
    <x v="0"/>
    <x v="520"/>
    <x v="0"/>
    <x v="4"/>
    <x v="0"/>
    <x v="0"/>
    <x v="1"/>
    <x v="4"/>
    <x v="3"/>
    <x v="0"/>
  </r>
  <r>
    <x v="521"/>
    <x v="51"/>
    <x v="0"/>
    <x v="6"/>
    <x v="1"/>
    <x v="521"/>
    <x v="1"/>
    <x v="5"/>
    <x v="1"/>
    <x v="0"/>
    <x v="3"/>
    <x v="4"/>
    <x v="3"/>
    <x v="0"/>
  </r>
  <r>
    <x v="522"/>
    <x v="17"/>
    <x v="1"/>
    <x v="9"/>
    <x v="1"/>
    <x v="522"/>
    <x v="1"/>
    <x v="5"/>
    <x v="2"/>
    <x v="1"/>
    <x v="5"/>
    <x v="1"/>
    <x v="1"/>
    <x v="0"/>
  </r>
  <r>
    <x v="523"/>
    <x v="255"/>
    <x v="1"/>
    <x v="5"/>
    <x v="0"/>
    <x v="523"/>
    <x v="3"/>
    <x v="6"/>
    <x v="1"/>
    <x v="1"/>
    <x v="1"/>
    <x v="2"/>
    <x v="2"/>
    <x v="0"/>
  </r>
  <r>
    <x v="524"/>
    <x v="280"/>
    <x v="1"/>
    <x v="8"/>
    <x v="0"/>
    <x v="524"/>
    <x v="1"/>
    <x v="1"/>
    <x v="3"/>
    <x v="0"/>
    <x v="0"/>
    <x v="4"/>
    <x v="3"/>
    <x v="0"/>
  </r>
  <r>
    <x v="525"/>
    <x v="166"/>
    <x v="0"/>
    <x v="8"/>
    <x v="0"/>
    <x v="525"/>
    <x v="2"/>
    <x v="5"/>
    <x v="3"/>
    <x v="0"/>
    <x v="5"/>
    <x v="3"/>
    <x v="3"/>
    <x v="0"/>
  </r>
  <r>
    <x v="526"/>
    <x v="85"/>
    <x v="0"/>
    <x v="5"/>
    <x v="1"/>
    <x v="526"/>
    <x v="3"/>
    <x v="3"/>
    <x v="1"/>
    <x v="1"/>
    <x v="5"/>
    <x v="0"/>
    <x v="0"/>
    <x v="0"/>
  </r>
  <r>
    <x v="527"/>
    <x v="1"/>
    <x v="0"/>
    <x v="1"/>
    <x v="1"/>
    <x v="527"/>
    <x v="2"/>
    <x v="0"/>
    <x v="2"/>
    <x v="0"/>
    <x v="4"/>
    <x v="4"/>
    <x v="3"/>
    <x v="0"/>
  </r>
  <r>
    <x v="528"/>
    <x v="278"/>
    <x v="1"/>
    <x v="10"/>
    <x v="2"/>
    <x v="528"/>
    <x v="1"/>
    <x v="3"/>
    <x v="2"/>
    <x v="1"/>
    <x v="4"/>
    <x v="4"/>
    <x v="3"/>
    <x v="0"/>
  </r>
  <r>
    <x v="529"/>
    <x v="281"/>
    <x v="0"/>
    <x v="1"/>
    <x v="0"/>
    <x v="529"/>
    <x v="3"/>
    <x v="4"/>
    <x v="3"/>
    <x v="1"/>
    <x v="1"/>
    <x v="1"/>
    <x v="1"/>
    <x v="0"/>
  </r>
  <r>
    <x v="530"/>
    <x v="198"/>
    <x v="0"/>
    <x v="5"/>
    <x v="0"/>
    <x v="530"/>
    <x v="2"/>
    <x v="6"/>
    <x v="1"/>
    <x v="0"/>
    <x v="3"/>
    <x v="4"/>
    <x v="3"/>
    <x v="0"/>
  </r>
  <r>
    <x v="531"/>
    <x v="282"/>
    <x v="0"/>
    <x v="10"/>
    <x v="2"/>
    <x v="531"/>
    <x v="1"/>
    <x v="2"/>
    <x v="1"/>
    <x v="1"/>
    <x v="0"/>
    <x v="5"/>
    <x v="3"/>
    <x v="0"/>
  </r>
  <r>
    <x v="532"/>
    <x v="186"/>
    <x v="1"/>
    <x v="6"/>
    <x v="2"/>
    <x v="532"/>
    <x v="4"/>
    <x v="1"/>
    <x v="0"/>
    <x v="1"/>
    <x v="4"/>
    <x v="3"/>
    <x v="3"/>
    <x v="0"/>
  </r>
  <r>
    <x v="533"/>
    <x v="127"/>
    <x v="0"/>
    <x v="1"/>
    <x v="1"/>
    <x v="533"/>
    <x v="0"/>
    <x v="4"/>
    <x v="2"/>
    <x v="0"/>
    <x v="2"/>
    <x v="0"/>
    <x v="0"/>
    <x v="0"/>
  </r>
  <r>
    <x v="534"/>
    <x v="255"/>
    <x v="1"/>
    <x v="5"/>
    <x v="0"/>
    <x v="534"/>
    <x v="2"/>
    <x v="3"/>
    <x v="3"/>
    <x v="1"/>
    <x v="4"/>
    <x v="0"/>
    <x v="0"/>
    <x v="0"/>
  </r>
  <r>
    <x v="535"/>
    <x v="237"/>
    <x v="0"/>
    <x v="10"/>
    <x v="0"/>
    <x v="535"/>
    <x v="4"/>
    <x v="5"/>
    <x v="3"/>
    <x v="0"/>
    <x v="2"/>
    <x v="3"/>
    <x v="3"/>
    <x v="0"/>
  </r>
  <r>
    <x v="536"/>
    <x v="283"/>
    <x v="1"/>
    <x v="5"/>
    <x v="0"/>
    <x v="536"/>
    <x v="1"/>
    <x v="2"/>
    <x v="1"/>
    <x v="0"/>
    <x v="2"/>
    <x v="5"/>
    <x v="3"/>
    <x v="0"/>
  </r>
  <r>
    <x v="537"/>
    <x v="284"/>
    <x v="1"/>
    <x v="8"/>
    <x v="2"/>
    <x v="537"/>
    <x v="3"/>
    <x v="4"/>
    <x v="1"/>
    <x v="0"/>
    <x v="5"/>
    <x v="2"/>
    <x v="2"/>
    <x v="0"/>
  </r>
  <r>
    <x v="538"/>
    <x v="285"/>
    <x v="1"/>
    <x v="8"/>
    <x v="2"/>
    <x v="538"/>
    <x v="2"/>
    <x v="4"/>
    <x v="3"/>
    <x v="1"/>
    <x v="1"/>
    <x v="1"/>
    <x v="1"/>
    <x v="0"/>
  </r>
  <r>
    <x v="539"/>
    <x v="222"/>
    <x v="0"/>
    <x v="0"/>
    <x v="2"/>
    <x v="539"/>
    <x v="0"/>
    <x v="4"/>
    <x v="1"/>
    <x v="0"/>
    <x v="5"/>
    <x v="4"/>
    <x v="3"/>
    <x v="0"/>
  </r>
  <r>
    <x v="540"/>
    <x v="111"/>
    <x v="0"/>
    <x v="4"/>
    <x v="0"/>
    <x v="540"/>
    <x v="1"/>
    <x v="2"/>
    <x v="3"/>
    <x v="0"/>
    <x v="5"/>
    <x v="3"/>
    <x v="3"/>
    <x v="0"/>
  </r>
  <r>
    <x v="541"/>
    <x v="134"/>
    <x v="1"/>
    <x v="0"/>
    <x v="2"/>
    <x v="541"/>
    <x v="4"/>
    <x v="0"/>
    <x v="3"/>
    <x v="1"/>
    <x v="2"/>
    <x v="5"/>
    <x v="3"/>
    <x v="0"/>
  </r>
  <r>
    <x v="542"/>
    <x v="16"/>
    <x v="0"/>
    <x v="9"/>
    <x v="2"/>
    <x v="542"/>
    <x v="2"/>
    <x v="2"/>
    <x v="2"/>
    <x v="1"/>
    <x v="1"/>
    <x v="3"/>
    <x v="3"/>
    <x v="0"/>
  </r>
  <r>
    <x v="543"/>
    <x v="138"/>
    <x v="2"/>
    <x v="4"/>
    <x v="2"/>
    <x v="543"/>
    <x v="1"/>
    <x v="3"/>
    <x v="1"/>
    <x v="0"/>
    <x v="2"/>
    <x v="5"/>
    <x v="3"/>
    <x v="0"/>
  </r>
  <r>
    <x v="544"/>
    <x v="211"/>
    <x v="1"/>
    <x v="10"/>
    <x v="0"/>
    <x v="544"/>
    <x v="0"/>
    <x v="6"/>
    <x v="4"/>
    <x v="0"/>
    <x v="5"/>
    <x v="5"/>
    <x v="3"/>
    <x v="0"/>
  </r>
  <r>
    <x v="545"/>
    <x v="112"/>
    <x v="1"/>
    <x v="0"/>
    <x v="0"/>
    <x v="545"/>
    <x v="4"/>
    <x v="2"/>
    <x v="2"/>
    <x v="0"/>
    <x v="3"/>
    <x v="3"/>
    <x v="3"/>
    <x v="0"/>
  </r>
  <r>
    <x v="546"/>
    <x v="157"/>
    <x v="1"/>
    <x v="3"/>
    <x v="2"/>
    <x v="546"/>
    <x v="4"/>
    <x v="0"/>
    <x v="2"/>
    <x v="0"/>
    <x v="5"/>
    <x v="1"/>
    <x v="1"/>
    <x v="0"/>
  </r>
  <r>
    <x v="547"/>
    <x v="253"/>
    <x v="1"/>
    <x v="0"/>
    <x v="0"/>
    <x v="547"/>
    <x v="3"/>
    <x v="0"/>
    <x v="4"/>
    <x v="1"/>
    <x v="2"/>
    <x v="4"/>
    <x v="3"/>
    <x v="0"/>
  </r>
  <r>
    <x v="548"/>
    <x v="286"/>
    <x v="1"/>
    <x v="5"/>
    <x v="0"/>
    <x v="548"/>
    <x v="1"/>
    <x v="3"/>
    <x v="0"/>
    <x v="1"/>
    <x v="1"/>
    <x v="0"/>
    <x v="0"/>
    <x v="0"/>
  </r>
  <r>
    <x v="549"/>
    <x v="132"/>
    <x v="0"/>
    <x v="8"/>
    <x v="2"/>
    <x v="549"/>
    <x v="2"/>
    <x v="6"/>
    <x v="1"/>
    <x v="0"/>
    <x v="3"/>
    <x v="3"/>
    <x v="3"/>
    <x v="0"/>
  </r>
  <r>
    <x v="550"/>
    <x v="228"/>
    <x v="1"/>
    <x v="4"/>
    <x v="2"/>
    <x v="550"/>
    <x v="2"/>
    <x v="0"/>
    <x v="2"/>
    <x v="0"/>
    <x v="4"/>
    <x v="1"/>
    <x v="1"/>
    <x v="0"/>
  </r>
  <r>
    <x v="551"/>
    <x v="214"/>
    <x v="1"/>
    <x v="5"/>
    <x v="2"/>
    <x v="551"/>
    <x v="1"/>
    <x v="3"/>
    <x v="1"/>
    <x v="0"/>
    <x v="3"/>
    <x v="0"/>
    <x v="0"/>
    <x v="0"/>
  </r>
  <r>
    <x v="552"/>
    <x v="245"/>
    <x v="0"/>
    <x v="5"/>
    <x v="2"/>
    <x v="552"/>
    <x v="2"/>
    <x v="3"/>
    <x v="1"/>
    <x v="1"/>
    <x v="1"/>
    <x v="3"/>
    <x v="3"/>
    <x v="0"/>
  </r>
  <r>
    <x v="553"/>
    <x v="61"/>
    <x v="1"/>
    <x v="8"/>
    <x v="0"/>
    <x v="553"/>
    <x v="0"/>
    <x v="4"/>
    <x v="1"/>
    <x v="0"/>
    <x v="0"/>
    <x v="1"/>
    <x v="1"/>
    <x v="0"/>
  </r>
  <r>
    <x v="554"/>
    <x v="144"/>
    <x v="1"/>
    <x v="1"/>
    <x v="0"/>
    <x v="554"/>
    <x v="3"/>
    <x v="4"/>
    <x v="0"/>
    <x v="0"/>
    <x v="3"/>
    <x v="4"/>
    <x v="3"/>
    <x v="0"/>
  </r>
  <r>
    <x v="555"/>
    <x v="52"/>
    <x v="1"/>
    <x v="5"/>
    <x v="2"/>
    <x v="555"/>
    <x v="2"/>
    <x v="3"/>
    <x v="1"/>
    <x v="1"/>
    <x v="0"/>
    <x v="2"/>
    <x v="2"/>
    <x v="0"/>
  </r>
  <r>
    <x v="556"/>
    <x v="287"/>
    <x v="1"/>
    <x v="11"/>
    <x v="0"/>
    <x v="556"/>
    <x v="0"/>
    <x v="2"/>
    <x v="0"/>
    <x v="0"/>
    <x v="0"/>
    <x v="3"/>
    <x v="3"/>
    <x v="0"/>
  </r>
  <r>
    <x v="557"/>
    <x v="184"/>
    <x v="1"/>
    <x v="5"/>
    <x v="0"/>
    <x v="557"/>
    <x v="4"/>
    <x v="2"/>
    <x v="1"/>
    <x v="0"/>
    <x v="5"/>
    <x v="2"/>
    <x v="2"/>
    <x v="0"/>
  </r>
  <r>
    <x v="558"/>
    <x v="277"/>
    <x v="1"/>
    <x v="6"/>
    <x v="2"/>
    <x v="558"/>
    <x v="4"/>
    <x v="2"/>
    <x v="3"/>
    <x v="1"/>
    <x v="3"/>
    <x v="3"/>
    <x v="3"/>
    <x v="0"/>
  </r>
  <r>
    <x v="559"/>
    <x v="83"/>
    <x v="1"/>
    <x v="8"/>
    <x v="1"/>
    <x v="559"/>
    <x v="4"/>
    <x v="5"/>
    <x v="3"/>
    <x v="1"/>
    <x v="3"/>
    <x v="1"/>
    <x v="1"/>
    <x v="0"/>
  </r>
  <r>
    <x v="560"/>
    <x v="279"/>
    <x v="1"/>
    <x v="8"/>
    <x v="2"/>
    <x v="560"/>
    <x v="0"/>
    <x v="5"/>
    <x v="4"/>
    <x v="0"/>
    <x v="3"/>
    <x v="2"/>
    <x v="2"/>
    <x v="0"/>
  </r>
  <r>
    <x v="561"/>
    <x v="100"/>
    <x v="0"/>
    <x v="8"/>
    <x v="0"/>
    <x v="561"/>
    <x v="1"/>
    <x v="3"/>
    <x v="4"/>
    <x v="0"/>
    <x v="0"/>
    <x v="0"/>
    <x v="0"/>
    <x v="0"/>
  </r>
  <r>
    <x v="562"/>
    <x v="288"/>
    <x v="1"/>
    <x v="9"/>
    <x v="2"/>
    <x v="562"/>
    <x v="3"/>
    <x v="3"/>
    <x v="2"/>
    <x v="1"/>
    <x v="0"/>
    <x v="0"/>
    <x v="0"/>
    <x v="0"/>
  </r>
  <r>
    <x v="563"/>
    <x v="112"/>
    <x v="1"/>
    <x v="0"/>
    <x v="0"/>
    <x v="563"/>
    <x v="4"/>
    <x v="4"/>
    <x v="3"/>
    <x v="1"/>
    <x v="2"/>
    <x v="2"/>
    <x v="2"/>
    <x v="0"/>
  </r>
  <r>
    <x v="564"/>
    <x v="0"/>
    <x v="0"/>
    <x v="0"/>
    <x v="0"/>
    <x v="564"/>
    <x v="1"/>
    <x v="3"/>
    <x v="4"/>
    <x v="0"/>
    <x v="4"/>
    <x v="3"/>
    <x v="3"/>
    <x v="0"/>
  </r>
  <r>
    <x v="565"/>
    <x v="289"/>
    <x v="0"/>
    <x v="1"/>
    <x v="0"/>
    <x v="565"/>
    <x v="2"/>
    <x v="3"/>
    <x v="2"/>
    <x v="0"/>
    <x v="3"/>
    <x v="5"/>
    <x v="3"/>
    <x v="0"/>
  </r>
  <r>
    <x v="566"/>
    <x v="290"/>
    <x v="1"/>
    <x v="3"/>
    <x v="0"/>
    <x v="566"/>
    <x v="4"/>
    <x v="0"/>
    <x v="1"/>
    <x v="0"/>
    <x v="5"/>
    <x v="0"/>
    <x v="0"/>
    <x v="0"/>
  </r>
  <r>
    <x v="567"/>
    <x v="291"/>
    <x v="1"/>
    <x v="4"/>
    <x v="2"/>
    <x v="567"/>
    <x v="0"/>
    <x v="6"/>
    <x v="4"/>
    <x v="0"/>
    <x v="2"/>
    <x v="1"/>
    <x v="1"/>
    <x v="0"/>
  </r>
  <r>
    <x v="568"/>
    <x v="285"/>
    <x v="1"/>
    <x v="8"/>
    <x v="2"/>
    <x v="568"/>
    <x v="2"/>
    <x v="5"/>
    <x v="0"/>
    <x v="1"/>
    <x v="0"/>
    <x v="3"/>
    <x v="3"/>
    <x v="0"/>
  </r>
  <r>
    <x v="569"/>
    <x v="44"/>
    <x v="1"/>
    <x v="4"/>
    <x v="0"/>
    <x v="569"/>
    <x v="4"/>
    <x v="0"/>
    <x v="2"/>
    <x v="0"/>
    <x v="4"/>
    <x v="2"/>
    <x v="2"/>
    <x v="0"/>
  </r>
  <r>
    <x v="570"/>
    <x v="226"/>
    <x v="1"/>
    <x v="10"/>
    <x v="2"/>
    <x v="570"/>
    <x v="3"/>
    <x v="1"/>
    <x v="4"/>
    <x v="0"/>
    <x v="1"/>
    <x v="0"/>
    <x v="0"/>
    <x v="0"/>
  </r>
  <r>
    <x v="571"/>
    <x v="45"/>
    <x v="0"/>
    <x v="5"/>
    <x v="0"/>
    <x v="571"/>
    <x v="3"/>
    <x v="4"/>
    <x v="0"/>
    <x v="0"/>
    <x v="0"/>
    <x v="2"/>
    <x v="2"/>
    <x v="0"/>
  </r>
  <r>
    <x v="572"/>
    <x v="275"/>
    <x v="1"/>
    <x v="3"/>
    <x v="2"/>
    <x v="572"/>
    <x v="3"/>
    <x v="1"/>
    <x v="4"/>
    <x v="0"/>
    <x v="4"/>
    <x v="5"/>
    <x v="3"/>
    <x v="0"/>
  </r>
  <r>
    <x v="573"/>
    <x v="130"/>
    <x v="1"/>
    <x v="7"/>
    <x v="2"/>
    <x v="573"/>
    <x v="3"/>
    <x v="3"/>
    <x v="4"/>
    <x v="1"/>
    <x v="5"/>
    <x v="2"/>
    <x v="2"/>
    <x v="0"/>
  </r>
  <r>
    <x v="574"/>
    <x v="55"/>
    <x v="0"/>
    <x v="10"/>
    <x v="2"/>
    <x v="574"/>
    <x v="2"/>
    <x v="1"/>
    <x v="2"/>
    <x v="1"/>
    <x v="2"/>
    <x v="2"/>
    <x v="2"/>
    <x v="0"/>
  </r>
  <r>
    <x v="575"/>
    <x v="52"/>
    <x v="1"/>
    <x v="5"/>
    <x v="2"/>
    <x v="575"/>
    <x v="0"/>
    <x v="3"/>
    <x v="1"/>
    <x v="0"/>
    <x v="1"/>
    <x v="3"/>
    <x v="3"/>
    <x v="0"/>
  </r>
  <r>
    <x v="576"/>
    <x v="180"/>
    <x v="0"/>
    <x v="8"/>
    <x v="0"/>
    <x v="576"/>
    <x v="0"/>
    <x v="3"/>
    <x v="1"/>
    <x v="0"/>
    <x v="0"/>
    <x v="5"/>
    <x v="3"/>
    <x v="0"/>
  </r>
  <r>
    <x v="577"/>
    <x v="189"/>
    <x v="1"/>
    <x v="10"/>
    <x v="0"/>
    <x v="577"/>
    <x v="1"/>
    <x v="3"/>
    <x v="1"/>
    <x v="0"/>
    <x v="2"/>
    <x v="3"/>
    <x v="3"/>
    <x v="0"/>
  </r>
  <r>
    <x v="578"/>
    <x v="292"/>
    <x v="1"/>
    <x v="5"/>
    <x v="0"/>
    <x v="578"/>
    <x v="3"/>
    <x v="6"/>
    <x v="0"/>
    <x v="0"/>
    <x v="1"/>
    <x v="1"/>
    <x v="1"/>
    <x v="0"/>
  </r>
  <r>
    <x v="579"/>
    <x v="125"/>
    <x v="1"/>
    <x v="5"/>
    <x v="0"/>
    <x v="579"/>
    <x v="3"/>
    <x v="5"/>
    <x v="2"/>
    <x v="0"/>
    <x v="2"/>
    <x v="3"/>
    <x v="3"/>
    <x v="0"/>
  </r>
  <r>
    <x v="580"/>
    <x v="269"/>
    <x v="0"/>
    <x v="6"/>
    <x v="0"/>
    <x v="580"/>
    <x v="1"/>
    <x v="6"/>
    <x v="3"/>
    <x v="1"/>
    <x v="2"/>
    <x v="2"/>
    <x v="2"/>
    <x v="0"/>
  </r>
  <r>
    <x v="581"/>
    <x v="248"/>
    <x v="1"/>
    <x v="7"/>
    <x v="0"/>
    <x v="581"/>
    <x v="2"/>
    <x v="1"/>
    <x v="1"/>
    <x v="0"/>
    <x v="5"/>
    <x v="0"/>
    <x v="0"/>
    <x v="0"/>
  </r>
  <r>
    <x v="582"/>
    <x v="43"/>
    <x v="1"/>
    <x v="2"/>
    <x v="2"/>
    <x v="582"/>
    <x v="1"/>
    <x v="1"/>
    <x v="1"/>
    <x v="0"/>
    <x v="1"/>
    <x v="4"/>
    <x v="3"/>
    <x v="0"/>
  </r>
  <r>
    <x v="583"/>
    <x v="207"/>
    <x v="1"/>
    <x v="4"/>
    <x v="2"/>
    <x v="583"/>
    <x v="4"/>
    <x v="2"/>
    <x v="0"/>
    <x v="0"/>
    <x v="1"/>
    <x v="0"/>
    <x v="0"/>
    <x v="0"/>
  </r>
  <r>
    <x v="584"/>
    <x v="238"/>
    <x v="0"/>
    <x v="4"/>
    <x v="2"/>
    <x v="584"/>
    <x v="0"/>
    <x v="5"/>
    <x v="1"/>
    <x v="0"/>
    <x v="2"/>
    <x v="1"/>
    <x v="1"/>
    <x v="0"/>
  </r>
  <r>
    <x v="585"/>
    <x v="151"/>
    <x v="1"/>
    <x v="0"/>
    <x v="2"/>
    <x v="585"/>
    <x v="4"/>
    <x v="1"/>
    <x v="3"/>
    <x v="0"/>
    <x v="3"/>
    <x v="2"/>
    <x v="2"/>
    <x v="0"/>
  </r>
  <r>
    <x v="586"/>
    <x v="131"/>
    <x v="0"/>
    <x v="5"/>
    <x v="2"/>
    <x v="586"/>
    <x v="0"/>
    <x v="4"/>
    <x v="0"/>
    <x v="0"/>
    <x v="1"/>
    <x v="2"/>
    <x v="2"/>
    <x v="0"/>
  </r>
  <r>
    <x v="587"/>
    <x v="144"/>
    <x v="1"/>
    <x v="1"/>
    <x v="0"/>
    <x v="587"/>
    <x v="4"/>
    <x v="0"/>
    <x v="2"/>
    <x v="1"/>
    <x v="1"/>
    <x v="1"/>
    <x v="1"/>
    <x v="0"/>
  </r>
  <r>
    <x v="588"/>
    <x v="25"/>
    <x v="1"/>
    <x v="9"/>
    <x v="2"/>
    <x v="588"/>
    <x v="3"/>
    <x v="4"/>
    <x v="3"/>
    <x v="0"/>
    <x v="3"/>
    <x v="4"/>
    <x v="3"/>
    <x v="0"/>
  </r>
  <r>
    <x v="589"/>
    <x v="227"/>
    <x v="1"/>
    <x v="0"/>
    <x v="2"/>
    <x v="589"/>
    <x v="3"/>
    <x v="6"/>
    <x v="2"/>
    <x v="1"/>
    <x v="5"/>
    <x v="3"/>
    <x v="3"/>
    <x v="0"/>
  </r>
  <r>
    <x v="590"/>
    <x v="104"/>
    <x v="1"/>
    <x v="0"/>
    <x v="0"/>
    <x v="590"/>
    <x v="3"/>
    <x v="0"/>
    <x v="0"/>
    <x v="0"/>
    <x v="4"/>
    <x v="1"/>
    <x v="1"/>
    <x v="0"/>
  </r>
  <r>
    <x v="591"/>
    <x v="152"/>
    <x v="1"/>
    <x v="10"/>
    <x v="2"/>
    <x v="591"/>
    <x v="2"/>
    <x v="6"/>
    <x v="1"/>
    <x v="1"/>
    <x v="4"/>
    <x v="2"/>
    <x v="2"/>
    <x v="0"/>
  </r>
  <r>
    <x v="592"/>
    <x v="293"/>
    <x v="1"/>
    <x v="8"/>
    <x v="1"/>
    <x v="592"/>
    <x v="3"/>
    <x v="0"/>
    <x v="4"/>
    <x v="0"/>
    <x v="3"/>
    <x v="2"/>
    <x v="2"/>
    <x v="0"/>
  </r>
  <r>
    <x v="593"/>
    <x v="118"/>
    <x v="1"/>
    <x v="7"/>
    <x v="2"/>
    <x v="593"/>
    <x v="3"/>
    <x v="5"/>
    <x v="3"/>
    <x v="1"/>
    <x v="0"/>
    <x v="1"/>
    <x v="1"/>
    <x v="0"/>
  </r>
  <r>
    <x v="594"/>
    <x v="294"/>
    <x v="2"/>
    <x v="0"/>
    <x v="2"/>
    <x v="594"/>
    <x v="2"/>
    <x v="0"/>
    <x v="3"/>
    <x v="0"/>
    <x v="1"/>
    <x v="1"/>
    <x v="1"/>
    <x v="0"/>
  </r>
  <r>
    <x v="595"/>
    <x v="199"/>
    <x v="1"/>
    <x v="10"/>
    <x v="2"/>
    <x v="595"/>
    <x v="4"/>
    <x v="2"/>
    <x v="4"/>
    <x v="0"/>
    <x v="2"/>
    <x v="4"/>
    <x v="3"/>
    <x v="0"/>
  </r>
  <r>
    <x v="596"/>
    <x v="61"/>
    <x v="1"/>
    <x v="8"/>
    <x v="0"/>
    <x v="596"/>
    <x v="0"/>
    <x v="0"/>
    <x v="1"/>
    <x v="0"/>
    <x v="4"/>
    <x v="0"/>
    <x v="0"/>
    <x v="0"/>
  </r>
  <r>
    <x v="597"/>
    <x v="29"/>
    <x v="1"/>
    <x v="8"/>
    <x v="1"/>
    <x v="597"/>
    <x v="3"/>
    <x v="4"/>
    <x v="0"/>
    <x v="0"/>
    <x v="5"/>
    <x v="2"/>
    <x v="2"/>
    <x v="0"/>
  </r>
  <r>
    <x v="598"/>
    <x v="54"/>
    <x v="1"/>
    <x v="8"/>
    <x v="2"/>
    <x v="598"/>
    <x v="4"/>
    <x v="1"/>
    <x v="1"/>
    <x v="0"/>
    <x v="2"/>
    <x v="2"/>
    <x v="2"/>
    <x v="0"/>
  </r>
  <r>
    <x v="599"/>
    <x v="295"/>
    <x v="1"/>
    <x v="3"/>
    <x v="0"/>
    <x v="599"/>
    <x v="3"/>
    <x v="1"/>
    <x v="0"/>
    <x v="1"/>
    <x v="3"/>
    <x v="5"/>
    <x v="3"/>
    <x v="0"/>
  </r>
  <r>
    <x v="600"/>
    <x v="155"/>
    <x v="1"/>
    <x v="2"/>
    <x v="0"/>
    <x v="600"/>
    <x v="3"/>
    <x v="4"/>
    <x v="3"/>
    <x v="1"/>
    <x v="0"/>
    <x v="5"/>
    <x v="3"/>
    <x v="0"/>
  </r>
  <r>
    <x v="601"/>
    <x v="296"/>
    <x v="1"/>
    <x v="3"/>
    <x v="0"/>
    <x v="601"/>
    <x v="1"/>
    <x v="5"/>
    <x v="2"/>
    <x v="1"/>
    <x v="4"/>
    <x v="5"/>
    <x v="3"/>
    <x v="0"/>
  </r>
  <r>
    <x v="602"/>
    <x v="214"/>
    <x v="1"/>
    <x v="5"/>
    <x v="2"/>
    <x v="602"/>
    <x v="2"/>
    <x v="3"/>
    <x v="4"/>
    <x v="1"/>
    <x v="5"/>
    <x v="5"/>
    <x v="3"/>
    <x v="0"/>
  </r>
  <r>
    <x v="603"/>
    <x v="191"/>
    <x v="1"/>
    <x v="9"/>
    <x v="2"/>
    <x v="603"/>
    <x v="2"/>
    <x v="4"/>
    <x v="2"/>
    <x v="0"/>
    <x v="0"/>
    <x v="0"/>
    <x v="0"/>
    <x v="0"/>
  </r>
  <r>
    <x v="604"/>
    <x v="297"/>
    <x v="0"/>
    <x v="0"/>
    <x v="0"/>
    <x v="604"/>
    <x v="3"/>
    <x v="2"/>
    <x v="3"/>
    <x v="0"/>
    <x v="4"/>
    <x v="2"/>
    <x v="2"/>
    <x v="0"/>
  </r>
  <r>
    <x v="605"/>
    <x v="28"/>
    <x v="0"/>
    <x v="1"/>
    <x v="0"/>
    <x v="605"/>
    <x v="2"/>
    <x v="6"/>
    <x v="1"/>
    <x v="1"/>
    <x v="2"/>
    <x v="0"/>
    <x v="0"/>
    <x v="0"/>
  </r>
  <r>
    <x v="606"/>
    <x v="298"/>
    <x v="0"/>
    <x v="1"/>
    <x v="1"/>
    <x v="606"/>
    <x v="1"/>
    <x v="3"/>
    <x v="3"/>
    <x v="1"/>
    <x v="3"/>
    <x v="5"/>
    <x v="3"/>
    <x v="0"/>
  </r>
  <r>
    <x v="607"/>
    <x v="64"/>
    <x v="1"/>
    <x v="5"/>
    <x v="0"/>
    <x v="607"/>
    <x v="4"/>
    <x v="6"/>
    <x v="0"/>
    <x v="1"/>
    <x v="0"/>
    <x v="5"/>
    <x v="3"/>
    <x v="0"/>
  </r>
  <r>
    <x v="608"/>
    <x v="71"/>
    <x v="1"/>
    <x v="4"/>
    <x v="2"/>
    <x v="608"/>
    <x v="3"/>
    <x v="0"/>
    <x v="1"/>
    <x v="0"/>
    <x v="5"/>
    <x v="1"/>
    <x v="1"/>
    <x v="0"/>
  </r>
  <r>
    <x v="609"/>
    <x v="299"/>
    <x v="1"/>
    <x v="1"/>
    <x v="1"/>
    <x v="609"/>
    <x v="0"/>
    <x v="4"/>
    <x v="2"/>
    <x v="0"/>
    <x v="2"/>
    <x v="4"/>
    <x v="3"/>
    <x v="0"/>
  </r>
  <r>
    <x v="610"/>
    <x v="265"/>
    <x v="1"/>
    <x v="5"/>
    <x v="2"/>
    <x v="610"/>
    <x v="1"/>
    <x v="6"/>
    <x v="0"/>
    <x v="0"/>
    <x v="0"/>
    <x v="3"/>
    <x v="3"/>
    <x v="0"/>
  </r>
  <r>
    <x v="611"/>
    <x v="136"/>
    <x v="0"/>
    <x v="6"/>
    <x v="2"/>
    <x v="611"/>
    <x v="1"/>
    <x v="0"/>
    <x v="0"/>
    <x v="0"/>
    <x v="1"/>
    <x v="5"/>
    <x v="3"/>
    <x v="0"/>
  </r>
  <r>
    <x v="612"/>
    <x v="30"/>
    <x v="0"/>
    <x v="5"/>
    <x v="1"/>
    <x v="612"/>
    <x v="4"/>
    <x v="3"/>
    <x v="1"/>
    <x v="1"/>
    <x v="4"/>
    <x v="1"/>
    <x v="1"/>
    <x v="0"/>
  </r>
  <r>
    <x v="613"/>
    <x v="253"/>
    <x v="1"/>
    <x v="0"/>
    <x v="0"/>
    <x v="613"/>
    <x v="0"/>
    <x v="3"/>
    <x v="3"/>
    <x v="0"/>
    <x v="0"/>
    <x v="2"/>
    <x v="2"/>
    <x v="0"/>
  </r>
  <r>
    <x v="614"/>
    <x v="6"/>
    <x v="2"/>
    <x v="5"/>
    <x v="2"/>
    <x v="614"/>
    <x v="0"/>
    <x v="1"/>
    <x v="4"/>
    <x v="0"/>
    <x v="5"/>
    <x v="1"/>
    <x v="1"/>
    <x v="0"/>
  </r>
  <r>
    <x v="615"/>
    <x v="176"/>
    <x v="1"/>
    <x v="3"/>
    <x v="0"/>
    <x v="615"/>
    <x v="2"/>
    <x v="5"/>
    <x v="0"/>
    <x v="0"/>
    <x v="1"/>
    <x v="3"/>
    <x v="3"/>
    <x v="0"/>
  </r>
  <r>
    <x v="616"/>
    <x v="156"/>
    <x v="1"/>
    <x v="3"/>
    <x v="2"/>
    <x v="616"/>
    <x v="2"/>
    <x v="1"/>
    <x v="1"/>
    <x v="1"/>
    <x v="1"/>
    <x v="1"/>
    <x v="1"/>
    <x v="0"/>
  </r>
  <r>
    <x v="617"/>
    <x v="274"/>
    <x v="1"/>
    <x v="4"/>
    <x v="0"/>
    <x v="617"/>
    <x v="1"/>
    <x v="3"/>
    <x v="4"/>
    <x v="0"/>
    <x v="3"/>
    <x v="1"/>
    <x v="1"/>
    <x v="0"/>
  </r>
  <r>
    <x v="618"/>
    <x v="113"/>
    <x v="1"/>
    <x v="6"/>
    <x v="0"/>
    <x v="618"/>
    <x v="1"/>
    <x v="5"/>
    <x v="2"/>
    <x v="1"/>
    <x v="0"/>
    <x v="0"/>
    <x v="0"/>
    <x v="0"/>
  </r>
  <r>
    <x v="619"/>
    <x v="165"/>
    <x v="0"/>
    <x v="10"/>
    <x v="2"/>
    <x v="619"/>
    <x v="1"/>
    <x v="0"/>
    <x v="4"/>
    <x v="1"/>
    <x v="5"/>
    <x v="4"/>
    <x v="3"/>
    <x v="0"/>
  </r>
  <r>
    <x v="620"/>
    <x v="236"/>
    <x v="1"/>
    <x v="0"/>
    <x v="0"/>
    <x v="620"/>
    <x v="0"/>
    <x v="4"/>
    <x v="3"/>
    <x v="0"/>
    <x v="5"/>
    <x v="2"/>
    <x v="2"/>
    <x v="0"/>
  </r>
  <r>
    <x v="621"/>
    <x v="189"/>
    <x v="1"/>
    <x v="10"/>
    <x v="0"/>
    <x v="621"/>
    <x v="1"/>
    <x v="1"/>
    <x v="4"/>
    <x v="0"/>
    <x v="3"/>
    <x v="5"/>
    <x v="3"/>
    <x v="0"/>
  </r>
  <r>
    <x v="622"/>
    <x v="234"/>
    <x v="0"/>
    <x v="5"/>
    <x v="0"/>
    <x v="622"/>
    <x v="0"/>
    <x v="6"/>
    <x v="1"/>
    <x v="0"/>
    <x v="3"/>
    <x v="4"/>
    <x v="3"/>
    <x v="0"/>
  </r>
  <r>
    <x v="623"/>
    <x v="300"/>
    <x v="0"/>
    <x v="5"/>
    <x v="0"/>
    <x v="623"/>
    <x v="2"/>
    <x v="0"/>
    <x v="1"/>
    <x v="0"/>
    <x v="3"/>
    <x v="5"/>
    <x v="3"/>
    <x v="0"/>
  </r>
  <r>
    <x v="624"/>
    <x v="286"/>
    <x v="1"/>
    <x v="5"/>
    <x v="0"/>
    <x v="624"/>
    <x v="0"/>
    <x v="2"/>
    <x v="2"/>
    <x v="0"/>
    <x v="3"/>
    <x v="2"/>
    <x v="2"/>
    <x v="0"/>
  </r>
  <r>
    <x v="625"/>
    <x v="71"/>
    <x v="1"/>
    <x v="4"/>
    <x v="2"/>
    <x v="625"/>
    <x v="2"/>
    <x v="5"/>
    <x v="4"/>
    <x v="0"/>
    <x v="1"/>
    <x v="2"/>
    <x v="2"/>
    <x v="0"/>
  </r>
  <r>
    <x v="626"/>
    <x v="177"/>
    <x v="1"/>
    <x v="7"/>
    <x v="2"/>
    <x v="626"/>
    <x v="2"/>
    <x v="5"/>
    <x v="4"/>
    <x v="0"/>
    <x v="4"/>
    <x v="1"/>
    <x v="1"/>
    <x v="0"/>
  </r>
  <r>
    <x v="627"/>
    <x v="208"/>
    <x v="1"/>
    <x v="3"/>
    <x v="0"/>
    <x v="627"/>
    <x v="1"/>
    <x v="0"/>
    <x v="2"/>
    <x v="0"/>
    <x v="2"/>
    <x v="1"/>
    <x v="1"/>
    <x v="0"/>
  </r>
  <r>
    <x v="628"/>
    <x v="130"/>
    <x v="1"/>
    <x v="7"/>
    <x v="2"/>
    <x v="628"/>
    <x v="1"/>
    <x v="5"/>
    <x v="2"/>
    <x v="0"/>
    <x v="5"/>
    <x v="0"/>
    <x v="0"/>
    <x v="0"/>
  </r>
  <r>
    <x v="629"/>
    <x v="126"/>
    <x v="0"/>
    <x v="7"/>
    <x v="2"/>
    <x v="629"/>
    <x v="3"/>
    <x v="6"/>
    <x v="0"/>
    <x v="1"/>
    <x v="4"/>
    <x v="2"/>
    <x v="2"/>
    <x v="0"/>
  </r>
  <r>
    <x v="630"/>
    <x v="36"/>
    <x v="1"/>
    <x v="2"/>
    <x v="0"/>
    <x v="630"/>
    <x v="1"/>
    <x v="6"/>
    <x v="3"/>
    <x v="1"/>
    <x v="4"/>
    <x v="1"/>
    <x v="1"/>
    <x v="0"/>
  </r>
  <r>
    <x v="631"/>
    <x v="284"/>
    <x v="1"/>
    <x v="8"/>
    <x v="2"/>
    <x v="631"/>
    <x v="2"/>
    <x v="2"/>
    <x v="1"/>
    <x v="1"/>
    <x v="5"/>
    <x v="0"/>
    <x v="0"/>
    <x v="0"/>
  </r>
  <r>
    <x v="632"/>
    <x v="301"/>
    <x v="1"/>
    <x v="0"/>
    <x v="2"/>
    <x v="632"/>
    <x v="3"/>
    <x v="0"/>
    <x v="1"/>
    <x v="0"/>
    <x v="4"/>
    <x v="0"/>
    <x v="0"/>
    <x v="0"/>
  </r>
  <r>
    <x v="633"/>
    <x v="302"/>
    <x v="1"/>
    <x v="1"/>
    <x v="2"/>
    <x v="633"/>
    <x v="3"/>
    <x v="1"/>
    <x v="0"/>
    <x v="1"/>
    <x v="2"/>
    <x v="0"/>
    <x v="0"/>
    <x v="0"/>
  </r>
  <r>
    <x v="634"/>
    <x v="222"/>
    <x v="0"/>
    <x v="0"/>
    <x v="2"/>
    <x v="634"/>
    <x v="1"/>
    <x v="4"/>
    <x v="4"/>
    <x v="1"/>
    <x v="5"/>
    <x v="5"/>
    <x v="3"/>
    <x v="0"/>
  </r>
  <r>
    <x v="635"/>
    <x v="208"/>
    <x v="1"/>
    <x v="3"/>
    <x v="0"/>
    <x v="635"/>
    <x v="3"/>
    <x v="4"/>
    <x v="2"/>
    <x v="1"/>
    <x v="0"/>
    <x v="3"/>
    <x v="3"/>
    <x v="0"/>
  </r>
  <r>
    <x v="636"/>
    <x v="97"/>
    <x v="0"/>
    <x v="5"/>
    <x v="2"/>
    <x v="636"/>
    <x v="0"/>
    <x v="1"/>
    <x v="4"/>
    <x v="0"/>
    <x v="3"/>
    <x v="4"/>
    <x v="3"/>
    <x v="0"/>
  </r>
  <r>
    <x v="637"/>
    <x v="232"/>
    <x v="1"/>
    <x v="10"/>
    <x v="2"/>
    <x v="637"/>
    <x v="1"/>
    <x v="5"/>
    <x v="4"/>
    <x v="0"/>
    <x v="2"/>
    <x v="4"/>
    <x v="3"/>
    <x v="0"/>
  </r>
  <r>
    <x v="638"/>
    <x v="70"/>
    <x v="1"/>
    <x v="8"/>
    <x v="0"/>
    <x v="638"/>
    <x v="4"/>
    <x v="3"/>
    <x v="1"/>
    <x v="1"/>
    <x v="2"/>
    <x v="3"/>
    <x v="3"/>
    <x v="0"/>
  </r>
  <r>
    <x v="639"/>
    <x v="150"/>
    <x v="1"/>
    <x v="5"/>
    <x v="1"/>
    <x v="639"/>
    <x v="0"/>
    <x v="4"/>
    <x v="4"/>
    <x v="0"/>
    <x v="3"/>
    <x v="1"/>
    <x v="1"/>
    <x v="0"/>
  </r>
  <r>
    <x v="640"/>
    <x v="303"/>
    <x v="1"/>
    <x v="5"/>
    <x v="0"/>
    <x v="640"/>
    <x v="2"/>
    <x v="4"/>
    <x v="4"/>
    <x v="1"/>
    <x v="2"/>
    <x v="2"/>
    <x v="2"/>
    <x v="0"/>
  </r>
  <r>
    <x v="641"/>
    <x v="287"/>
    <x v="1"/>
    <x v="11"/>
    <x v="0"/>
    <x v="641"/>
    <x v="0"/>
    <x v="2"/>
    <x v="0"/>
    <x v="0"/>
    <x v="4"/>
    <x v="2"/>
    <x v="2"/>
    <x v="0"/>
  </r>
  <r>
    <x v="642"/>
    <x v="35"/>
    <x v="0"/>
    <x v="7"/>
    <x v="2"/>
    <x v="642"/>
    <x v="1"/>
    <x v="0"/>
    <x v="0"/>
    <x v="0"/>
    <x v="4"/>
    <x v="0"/>
    <x v="0"/>
    <x v="0"/>
  </r>
  <r>
    <x v="643"/>
    <x v="144"/>
    <x v="1"/>
    <x v="1"/>
    <x v="0"/>
    <x v="643"/>
    <x v="0"/>
    <x v="4"/>
    <x v="3"/>
    <x v="0"/>
    <x v="4"/>
    <x v="0"/>
    <x v="0"/>
    <x v="0"/>
  </r>
  <r>
    <x v="644"/>
    <x v="304"/>
    <x v="1"/>
    <x v="1"/>
    <x v="0"/>
    <x v="644"/>
    <x v="1"/>
    <x v="5"/>
    <x v="4"/>
    <x v="0"/>
    <x v="3"/>
    <x v="5"/>
    <x v="3"/>
    <x v="0"/>
  </r>
  <r>
    <x v="645"/>
    <x v="305"/>
    <x v="1"/>
    <x v="4"/>
    <x v="2"/>
    <x v="645"/>
    <x v="4"/>
    <x v="6"/>
    <x v="0"/>
    <x v="1"/>
    <x v="1"/>
    <x v="0"/>
    <x v="0"/>
    <x v="0"/>
  </r>
  <r>
    <x v="646"/>
    <x v="306"/>
    <x v="1"/>
    <x v="5"/>
    <x v="2"/>
    <x v="646"/>
    <x v="0"/>
    <x v="0"/>
    <x v="0"/>
    <x v="0"/>
    <x v="5"/>
    <x v="3"/>
    <x v="3"/>
    <x v="0"/>
  </r>
  <r>
    <x v="647"/>
    <x v="277"/>
    <x v="1"/>
    <x v="6"/>
    <x v="2"/>
    <x v="647"/>
    <x v="2"/>
    <x v="5"/>
    <x v="0"/>
    <x v="0"/>
    <x v="4"/>
    <x v="4"/>
    <x v="3"/>
    <x v="0"/>
  </r>
  <r>
    <x v="648"/>
    <x v="153"/>
    <x v="1"/>
    <x v="1"/>
    <x v="1"/>
    <x v="648"/>
    <x v="2"/>
    <x v="2"/>
    <x v="3"/>
    <x v="1"/>
    <x v="2"/>
    <x v="4"/>
    <x v="3"/>
    <x v="0"/>
  </r>
  <r>
    <x v="649"/>
    <x v="307"/>
    <x v="0"/>
    <x v="0"/>
    <x v="0"/>
    <x v="649"/>
    <x v="2"/>
    <x v="2"/>
    <x v="2"/>
    <x v="1"/>
    <x v="2"/>
    <x v="4"/>
    <x v="3"/>
    <x v="0"/>
  </r>
  <r>
    <x v="650"/>
    <x v="134"/>
    <x v="1"/>
    <x v="0"/>
    <x v="2"/>
    <x v="650"/>
    <x v="1"/>
    <x v="4"/>
    <x v="0"/>
    <x v="1"/>
    <x v="5"/>
    <x v="3"/>
    <x v="3"/>
    <x v="0"/>
  </r>
  <r>
    <x v="651"/>
    <x v="143"/>
    <x v="1"/>
    <x v="6"/>
    <x v="0"/>
    <x v="651"/>
    <x v="1"/>
    <x v="6"/>
    <x v="2"/>
    <x v="0"/>
    <x v="0"/>
    <x v="5"/>
    <x v="3"/>
    <x v="0"/>
  </r>
  <r>
    <x v="652"/>
    <x v="12"/>
    <x v="1"/>
    <x v="8"/>
    <x v="2"/>
    <x v="652"/>
    <x v="2"/>
    <x v="0"/>
    <x v="1"/>
    <x v="0"/>
    <x v="5"/>
    <x v="3"/>
    <x v="3"/>
    <x v="0"/>
  </r>
  <r>
    <x v="653"/>
    <x v="308"/>
    <x v="0"/>
    <x v="10"/>
    <x v="2"/>
    <x v="653"/>
    <x v="3"/>
    <x v="2"/>
    <x v="3"/>
    <x v="1"/>
    <x v="3"/>
    <x v="5"/>
    <x v="3"/>
    <x v="0"/>
  </r>
  <r>
    <x v="654"/>
    <x v="136"/>
    <x v="0"/>
    <x v="6"/>
    <x v="2"/>
    <x v="654"/>
    <x v="2"/>
    <x v="5"/>
    <x v="3"/>
    <x v="0"/>
    <x v="2"/>
    <x v="1"/>
    <x v="1"/>
    <x v="0"/>
  </r>
  <r>
    <x v="655"/>
    <x v="242"/>
    <x v="1"/>
    <x v="0"/>
    <x v="0"/>
    <x v="655"/>
    <x v="4"/>
    <x v="1"/>
    <x v="0"/>
    <x v="0"/>
    <x v="4"/>
    <x v="3"/>
    <x v="3"/>
    <x v="0"/>
  </r>
  <r>
    <x v="656"/>
    <x v="118"/>
    <x v="1"/>
    <x v="7"/>
    <x v="2"/>
    <x v="656"/>
    <x v="3"/>
    <x v="1"/>
    <x v="0"/>
    <x v="1"/>
    <x v="5"/>
    <x v="2"/>
    <x v="2"/>
    <x v="0"/>
  </r>
  <r>
    <x v="657"/>
    <x v="183"/>
    <x v="0"/>
    <x v="5"/>
    <x v="0"/>
    <x v="657"/>
    <x v="3"/>
    <x v="4"/>
    <x v="1"/>
    <x v="0"/>
    <x v="5"/>
    <x v="0"/>
    <x v="0"/>
    <x v="0"/>
  </r>
  <r>
    <x v="658"/>
    <x v="252"/>
    <x v="1"/>
    <x v="10"/>
    <x v="0"/>
    <x v="658"/>
    <x v="3"/>
    <x v="1"/>
    <x v="0"/>
    <x v="0"/>
    <x v="2"/>
    <x v="1"/>
    <x v="1"/>
    <x v="0"/>
  </r>
  <r>
    <x v="659"/>
    <x v="164"/>
    <x v="1"/>
    <x v="2"/>
    <x v="1"/>
    <x v="659"/>
    <x v="1"/>
    <x v="4"/>
    <x v="1"/>
    <x v="0"/>
    <x v="4"/>
    <x v="3"/>
    <x v="3"/>
    <x v="0"/>
  </r>
  <r>
    <x v="660"/>
    <x v="107"/>
    <x v="1"/>
    <x v="5"/>
    <x v="2"/>
    <x v="660"/>
    <x v="4"/>
    <x v="3"/>
    <x v="2"/>
    <x v="1"/>
    <x v="3"/>
    <x v="4"/>
    <x v="3"/>
    <x v="0"/>
  </r>
  <r>
    <x v="661"/>
    <x v="224"/>
    <x v="1"/>
    <x v="8"/>
    <x v="1"/>
    <x v="661"/>
    <x v="4"/>
    <x v="0"/>
    <x v="3"/>
    <x v="1"/>
    <x v="0"/>
    <x v="5"/>
    <x v="3"/>
    <x v="0"/>
  </r>
  <r>
    <x v="662"/>
    <x v="246"/>
    <x v="0"/>
    <x v="2"/>
    <x v="0"/>
    <x v="662"/>
    <x v="4"/>
    <x v="0"/>
    <x v="1"/>
    <x v="0"/>
    <x v="5"/>
    <x v="0"/>
    <x v="0"/>
    <x v="0"/>
  </r>
  <r>
    <x v="663"/>
    <x v="122"/>
    <x v="1"/>
    <x v="6"/>
    <x v="2"/>
    <x v="663"/>
    <x v="3"/>
    <x v="6"/>
    <x v="0"/>
    <x v="0"/>
    <x v="5"/>
    <x v="0"/>
    <x v="0"/>
    <x v="0"/>
  </r>
  <r>
    <x v="664"/>
    <x v="27"/>
    <x v="1"/>
    <x v="1"/>
    <x v="0"/>
    <x v="664"/>
    <x v="3"/>
    <x v="1"/>
    <x v="0"/>
    <x v="1"/>
    <x v="1"/>
    <x v="5"/>
    <x v="3"/>
    <x v="0"/>
  </r>
  <r>
    <x v="665"/>
    <x v="63"/>
    <x v="1"/>
    <x v="6"/>
    <x v="0"/>
    <x v="665"/>
    <x v="3"/>
    <x v="2"/>
    <x v="1"/>
    <x v="1"/>
    <x v="0"/>
    <x v="2"/>
    <x v="2"/>
    <x v="0"/>
  </r>
  <r>
    <x v="666"/>
    <x v="22"/>
    <x v="1"/>
    <x v="2"/>
    <x v="0"/>
    <x v="666"/>
    <x v="1"/>
    <x v="0"/>
    <x v="1"/>
    <x v="0"/>
    <x v="5"/>
    <x v="2"/>
    <x v="2"/>
    <x v="0"/>
  </r>
  <r>
    <x v="667"/>
    <x v="81"/>
    <x v="1"/>
    <x v="4"/>
    <x v="0"/>
    <x v="667"/>
    <x v="0"/>
    <x v="1"/>
    <x v="2"/>
    <x v="0"/>
    <x v="2"/>
    <x v="5"/>
    <x v="3"/>
    <x v="0"/>
  </r>
  <r>
    <x v="668"/>
    <x v="309"/>
    <x v="1"/>
    <x v="0"/>
    <x v="0"/>
    <x v="668"/>
    <x v="4"/>
    <x v="6"/>
    <x v="0"/>
    <x v="0"/>
    <x v="1"/>
    <x v="5"/>
    <x v="3"/>
    <x v="0"/>
  </r>
  <r>
    <x v="669"/>
    <x v="268"/>
    <x v="1"/>
    <x v="5"/>
    <x v="2"/>
    <x v="669"/>
    <x v="3"/>
    <x v="0"/>
    <x v="3"/>
    <x v="1"/>
    <x v="0"/>
    <x v="1"/>
    <x v="1"/>
    <x v="0"/>
  </r>
  <r>
    <x v="670"/>
    <x v="198"/>
    <x v="0"/>
    <x v="5"/>
    <x v="0"/>
    <x v="670"/>
    <x v="2"/>
    <x v="0"/>
    <x v="2"/>
    <x v="1"/>
    <x v="0"/>
    <x v="4"/>
    <x v="3"/>
    <x v="0"/>
  </r>
  <r>
    <x v="671"/>
    <x v="77"/>
    <x v="1"/>
    <x v="2"/>
    <x v="2"/>
    <x v="671"/>
    <x v="2"/>
    <x v="0"/>
    <x v="3"/>
    <x v="0"/>
    <x v="4"/>
    <x v="1"/>
    <x v="1"/>
    <x v="0"/>
  </r>
  <r>
    <x v="672"/>
    <x v="90"/>
    <x v="1"/>
    <x v="5"/>
    <x v="1"/>
    <x v="672"/>
    <x v="4"/>
    <x v="0"/>
    <x v="4"/>
    <x v="0"/>
    <x v="4"/>
    <x v="2"/>
    <x v="2"/>
    <x v="0"/>
  </r>
  <r>
    <x v="673"/>
    <x v="284"/>
    <x v="1"/>
    <x v="8"/>
    <x v="2"/>
    <x v="673"/>
    <x v="3"/>
    <x v="2"/>
    <x v="4"/>
    <x v="1"/>
    <x v="5"/>
    <x v="3"/>
    <x v="3"/>
    <x v="0"/>
  </r>
  <r>
    <x v="674"/>
    <x v="285"/>
    <x v="1"/>
    <x v="8"/>
    <x v="2"/>
    <x v="674"/>
    <x v="2"/>
    <x v="0"/>
    <x v="0"/>
    <x v="1"/>
    <x v="4"/>
    <x v="2"/>
    <x v="2"/>
    <x v="0"/>
  </r>
  <r>
    <x v="675"/>
    <x v="310"/>
    <x v="1"/>
    <x v="8"/>
    <x v="0"/>
    <x v="675"/>
    <x v="2"/>
    <x v="4"/>
    <x v="0"/>
    <x v="0"/>
    <x v="4"/>
    <x v="2"/>
    <x v="2"/>
    <x v="0"/>
  </r>
  <r>
    <x v="676"/>
    <x v="12"/>
    <x v="1"/>
    <x v="8"/>
    <x v="2"/>
    <x v="676"/>
    <x v="0"/>
    <x v="1"/>
    <x v="2"/>
    <x v="0"/>
    <x v="3"/>
    <x v="0"/>
    <x v="0"/>
    <x v="0"/>
  </r>
  <r>
    <x v="677"/>
    <x v="114"/>
    <x v="1"/>
    <x v="0"/>
    <x v="2"/>
    <x v="677"/>
    <x v="1"/>
    <x v="2"/>
    <x v="3"/>
    <x v="0"/>
    <x v="5"/>
    <x v="0"/>
    <x v="0"/>
    <x v="0"/>
  </r>
  <r>
    <x v="678"/>
    <x v="66"/>
    <x v="1"/>
    <x v="0"/>
    <x v="2"/>
    <x v="678"/>
    <x v="0"/>
    <x v="6"/>
    <x v="4"/>
    <x v="0"/>
    <x v="4"/>
    <x v="5"/>
    <x v="3"/>
    <x v="0"/>
  </r>
  <r>
    <x v="679"/>
    <x v="97"/>
    <x v="0"/>
    <x v="5"/>
    <x v="2"/>
    <x v="679"/>
    <x v="0"/>
    <x v="4"/>
    <x v="4"/>
    <x v="0"/>
    <x v="2"/>
    <x v="5"/>
    <x v="3"/>
    <x v="0"/>
  </r>
  <r>
    <x v="680"/>
    <x v="306"/>
    <x v="1"/>
    <x v="5"/>
    <x v="2"/>
    <x v="680"/>
    <x v="4"/>
    <x v="4"/>
    <x v="1"/>
    <x v="1"/>
    <x v="2"/>
    <x v="2"/>
    <x v="2"/>
    <x v="0"/>
  </r>
  <r>
    <x v="681"/>
    <x v="91"/>
    <x v="1"/>
    <x v="4"/>
    <x v="2"/>
    <x v="681"/>
    <x v="4"/>
    <x v="6"/>
    <x v="1"/>
    <x v="1"/>
    <x v="1"/>
    <x v="0"/>
    <x v="0"/>
    <x v="0"/>
  </r>
  <r>
    <x v="682"/>
    <x v="241"/>
    <x v="1"/>
    <x v="3"/>
    <x v="0"/>
    <x v="682"/>
    <x v="0"/>
    <x v="2"/>
    <x v="1"/>
    <x v="0"/>
    <x v="1"/>
    <x v="1"/>
    <x v="1"/>
    <x v="0"/>
  </r>
  <r>
    <x v="683"/>
    <x v="146"/>
    <x v="1"/>
    <x v="2"/>
    <x v="2"/>
    <x v="683"/>
    <x v="0"/>
    <x v="6"/>
    <x v="1"/>
    <x v="0"/>
    <x v="3"/>
    <x v="5"/>
    <x v="3"/>
    <x v="0"/>
  </r>
  <r>
    <x v="684"/>
    <x v="226"/>
    <x v="1"/>
    <x v="10"/>
    <x v="2"/>
    <x v="684"/>
    <x v="4"/>
    <x v="4"/>
    <x v="0"/>
    <x v="0"/>
    <x v="2"/>
    <x v="4"/>
    <x v="3"/>
    <x v="0"/>
  </r>
  <r>
    <x v="685"/>
    <x v="311"/>
    <x v="1"/>
    <x v="0"/>
    <x v="2"/>
    <x v="685"/>
    <x v="4"/>
    <x v="6"/>
    <x v="3"/>
    <x v="1"/>
    <x v="0"/>
    <x v="1"/>
    <x v="1"/>
    <x v="0"/>
  </r>
  <r>
    <x v="686"/>
    <x v="145"/>
    <x v="1"/>
    <x v="5"/>
    <x v="2"/>
    <x v="686"/>
    <x v="1"/>
    <x v="3"/>
    <x v="0"/>
    <x v="1"/>
    <x v="1"/>
    <x v="5"/>
    <x v="3"/>
    <x v="0"/>
  </r>
  <r>
    <x v="687"/>
    <x v="242"/>
    <x v="1"/>
    <x v="0"/>
    <x v="0"/>
    <x v="687"/>
    <x v="2"/>
    <x v="6"/>
    <x v="4"/>
    <x v="1"/>
    <x v="0"/>
    <x v="2"/>
    <x v="2"/>
    <x v="0"/>
  </r>
  <r>
    <x v="688"/>
    <x v="111"/>
    <x v="0"/>
    <x v="4"/>
    <x v="0"/>
    <x v="688"/>
    <x v="4"/>
    <x v="3"/>
    <x v="0"/>
    <x v="0"/>
    <x v="4"/>
    <x v="2"/>
    <x v="2"/>
    <x v="0"/>
  </r>
  <r>
    <x v="689"/>
    <x v="9"/>
    <x v="1"/>
    <x v="5"/>
    <x v="2"/>
    <x v="689"/>
    <x v="1"/>
    <x v="0"/>
    <x v="3"/>
    <x v="1"/>
    <x v="5"/>
    <x v="4"/>
    <x v="3"/>
    <x v="0"/>
  </r>
  <r>
    <x v="690"/>
    <x v="105"/>
    <x v="1"/>
    <x v="8"/>
    <x v="2"/>
    <x v="690"/>
    <x v="4"/>
    <x v="3"/>
    <x v="2"/>
    <x v="0"/>
    <x v="2"/>
    <x v="3"/>
    <x v="3"/>
    <x v="0"/>
  </r>
  <r>
    <x v="691"/>
    <x v="310"/>
    <x v="1"/>
    <x v="8"/>
    <x v="0"/>
    <x v="691"/>
    <x v="1"/>
    <x v="5"/>
    <x v="1"/>
    <x v="0"/>
    <x v="1"/>
    <x v="5"/>
    <x v="3"/>
    <x v="0"/>
  </r>
  <r>
    <x v="692"/>
    <x v="46"/>
    <x v="0"/>
    <x v="5"/>
    <x v="2"/>
    <x v="692"/>
    <x v="0"/>
    <x v="6"/>
    <x v="4"/>
    <x v="0"/>
    <x v="4"/>
    <x v="5"/>
    <x v="3"/>
    <x v="0"/>
  </r>
  <r>
    <x v="693"/>
    <x v="14"/>
    <x v="1"/>
    <x v="0"/>
    <x v="0"/>
    <x v="693"/>
    <x v="0"/>
    <x v="0"/>
    <x v="1"/>
    <x v="0"/>
    <x v="0"/>
    <x v="1"/>
    <x v="1"/>
    <x v="0"/>
  </r>
  <r>
    <x v="694"/>
    <x v="203"/>
    <x v="1"/>
    <x v="4"/>
    <x v="2"/>
    <x v="694"/>
    <x v="2"/>
    <x v="0"/>
    <x v="4"/>
    <x v="1"/>
    <x v="3"/>
    <x v="3"/>
    <x v="3"/>
    <x v="0"/>
  </r>
  <r>
    <x v="695"/>
    <x v="249"/>
    <x v="1"/>
    <x v="3"/>
    <x v="2"/>
    <x v="695"/>
    <x v="4"/>
    <x v="2"/>
    <x v="0"/>
    <x v="0"/>
    <x v="0"/>
    <x v="3"/>
    <x v="3"/>
    <x v="0"/>
  </r>
  <r>
    <x v="696"/>
    <x v="129"/>
    <x v="1"/>
    <x v="5"/>
    <x v="2"/>
    <x v="696"/>
    <x v="4"/>
    <x v="0"/>
    <x v="3"/>
    <x v="0"/>
    <x v="3"/>
    <x v="4"/>
    <x v="3"/>
    <x v="0"/>
  </r>
  <r>
    <x v="697"/>
    <x v="177"/>
    <x v="1"/>
    <x v="7"/>
    <x v="2"/>
    <x v="697"/>
    <x v="4"/>
    <x v="0"/>
    <x v="4"/>
    <x v="1"/>
    <x v="0"/>
    <x v="2"/>
    <x v="2"/>
    <x v="0"/>
  </r>
  <r>
    <x v="698"/>
    <x v="312"/>
    <x v="2"/>
    <x v="8"/>
    <x v="2"/>
    <x v="698"/>
    <x v="4"/>
    <x v="5"/>
    <x v="4"/>
    <x v="1"/>
    <x v="5"/>
    <x v="0"/>
    <x v="0"/>
    <x v="0"/>
  </r>
  <r>
    <x v="699"/>
    <x v="265"/>
    <x v="1"/>
    <x v="5"/>
    <x v="2"/>
    <x v="699"/>
    <x v="3"/>
    <x v="0"/>
    <x v="3"/>
    <x v="1"/>
    <x v="1"/>
    <x v="5"/>
    <x v="3"/>
    <x v="0"/>
  </r>
  <r>
    <x v="700"/>
    <x v="313"/>
    <x v="1"/>
    <x v="2"/>
    <x v="2"/>
    <x v="700"/>
    <x v="3"/>
    <x v="5"/>
    <x v="0"/>
    <x v="0"/>
    <x v="2"/>
    <x v="5"/>
    <x v="3"/>
    <x v="0"/>
  </r>
  <r>
    <x v="701"/>
    <x v="63"/>
    <x v="1"/>
    <x v="6"/>
    <x v="0"/>
    <x v="701"/>
    <x v="4"/>
    <x v="5"/>
    <x v="2"/>
    <x v="0"/>
    <x v="2"/>
    <x v="0"/>
    <x v="0"/>
    <x v="0"/>
  </r>
  <r>
    <x v="702"/>
    <x v="161"/>
    <x v="0"/>
    <x v="7"/>
    <x v="2"/>
    <x v="702"/>
    <x v="3"/>
    <x v="4"/>
    <x v="2"/>
    <x v="0"/>
    <x v="3"/>
    <x v="5"/>
    <x v="3"/>
    <x v="0"/>
  </r>
  <r>
    <x v="703"/>
    <x v="108"/>
    <x v="1"/>
    <x v="4"/>
    <x v="2"/>
    <x v="703"/>
    <x v="1"/>
    <x v="5"/>
    <x v="0"/>
    <x v="0"/>
    <x v="4"/>
    <x v="0"/>
    <x v="0"/>
    <x v="0"/>
  </r>
  <r>
    <x v="704"/>
    <x v="85"/>
    <x v="0"/>
    <x v="5"/>
    <x v="1"/>
    <x v="704"/>
    <x v="0"/>
    <x v="1"/>
    <x v="1"/>
    <x v="0"/>
    <x v="3"/>
    <x v="5"/>
    <x v="3"/>
    <x v="0"/>
  </r>
  <r>
    <x v="705"/>
    <x v="2"/>
    <x v="0"/>
    <x v="2"/>
    <x v="1"/>
    <x v="705"/>
    <x v="2"/>
    <x v="2"/>
    <x v="3"/>
    <x v="1"/>
    <x v="1"/>
    <x v="0"/>
    <x v="0"/>
    <x v="0"/>
  </r>
  <r>
    <x v="706"/>
    <x v="170"/>
    <x v="1"/>
    <x v="0"/>
    <x v="0"/>
    <x v="706"/>
    <x v="0"/>
    <x v="5"/>
    <x v="2"/>
    <x v="0"/>
    <x v="2"/>
    <x v="3"/>
    <x v="3"/>
    <x v="0"/>
  </r>
  <r>
    <x v="707"/>
    <x v="32"/>
    <x v="0"/>
    <x v="5"/>
    <x v="0"/>
    <x v="707"/>
    <x v="0"/>
    <x v="4"/>
    <x v="3"/>
    <x v="0"/>
    <x v="0"/>
    <x v="1"/>
    <x v="1"/>
    <x v="0"/>
  </r>
  <r>
    <x v="708"/>
    <x v="53"/>
    <x v="1"/>
    <x v="8"/>
    <x v="2"/>
    <x v="708"/>
    <x v="4"/>
    <x v="0"/>
    <x v="1"/>
    <x v="1"/>
    <x v="4"/>
    <x v="4"/>
    <x v="3"/>
    <x v="0"/>
  </r>
  <r>
    <x v="709"/>
    <x v="150"/>
    <x v="1"/>
    <x v="5"/>
    <x v="1"/>
    <x v="709"/>
    <x v="1"/>
    <x v="0"/>
    <x v="2"/>
    <x v="0"/>
    <x v="5"/>
    <x v="5"/>
    <x v="3"/>
    <x v="0"/>
  </r>
  <r>
    <x v="710"/>
    <x v="314"/>
    <x v="0"/>
    <x v="2"/>
    <x v="2"/>
    <x v="710"/>
    <x v="3"/>
    <x v="5"/>
    <x v="2"/>
    <x v="1"/>
    <x v="2"/>
    <x v="5"/>
    <x v="3"/>
    <x v="0"/>
  </r>
  <r>
    <x v="711"/>
    <x v="315"/>
    <x v="0"/>
    <x v="5"/>
    <x v="2"/>
    <x v="711"/>
    <x v="1"/>
    <x v="1"/>
    <x v="4"/>
    <x v="1"/>
    <x v="2"/>
    <x v="0"/>
    <x v="0"/>
    <x v="0"/>
  </r>
  <r>
    <x v="712"/>
    <x v="316"/>
    <x v="1"/>
    <x v="1"/>
    <x v="1"/>
    <x v="712"/>
    <x v="1"/>
    <x v="2"/>
    <x v="3"/>
    <x v="1"/>
    <x v="4"/>
    <x v="3"/>
    <x v="3"/>
    <x v="0"/>
  </r>
  <r>
    <x v="713"/>
    <x v="299"/>
    <x v="1"/>
    <x v="1"/>
    <x v="1"/>
    <x v="713"/>
    <x v="2"/>
    <x v="5"/>
    <x v="3"/>
    <x v="1"/>
    <x v="5"/>
    <x v="5"/>
    <x v="3"/>
    <x v="0"/>
  </r>
  <r>
    <x v="714"/>
    <x v="4"/>
    <x v="1"/>
    <x v="3"/>
    <x v="0"/>
    <x v="714"/>
    <x v="0"/>
    <x v="3"/>
    <x v="3"/>
    <x v="0"/>
    <x v="0"/>
    <x v="3"/>
    <x v="3"/>
    <x v="0"/>
  </r>
  <r>
    <x v="715"/>
    <x v="137"/>
    <x v="1"/>
    <x v="2"/>
    <x v="0"/>
    <x v="715"/>
    <x v="1"/>
    <x v="6"/>
    <x v="3"/>
    <x v="1"/>
    <x v="3"/>
    <x v="5"/>
    <x v="3"/>
    <x v="0"/>
  </r>
  <r>
    <x v="716"/>
    <x v="166"/>
    <x v="0"/>
    <x v="8"/>
    <x v="0"/>
    <x v="716"/>
    <x v="2"/>
    <x v="3"/>
    <x v="1"/>
    <x v="0"/>
    <x v="3"/>
    <x v="1"/>
    <x v="1"/>
    <x v="0"/>
  </r>
  <r>
    <x v="717"/>
    <x v="291"/>
    <x v="1"/>
    <x v="4"/>
    <x v="2"/>
    <x v="717"/>
    <x v="0"/>
    <x v="5"/>
    <x v="1"/>
    <x v="0"/>
    <x v="5"/>
    <x v="2"/>
    <x v="2"/>
    <x v="0"/>
  </r>
  <r>
    <x v="718"/>
    <x v="103"/>
    <x v="0"/>
    <x v="4"/>
    <x v="2"/>
    <x v="718"/>
    <x v="2"/>
    <x v="2"/>
    <x v="2"/>
    <x v="1"/>
    <x v="4"/>
    <x v="5"/>
    <x v="3"/>
    <x v="0"/>
  </r>
  <r>
    <x v="719"/>
    <x v="317"/>
    <x v="1"/>
    <x v="9"/>
    <x v="2"/>
    <x v="719"/>
    <x v="1"/>
    <x v="6"/>
    <x v="3"/>
    <x v="0"/>
    <x v="4"/>
    <x v="2"/>
    <x v="2"/>
    <x v="0"/>
  </r>
  <r>
    <x v="720"/>
    <x v="164"/>
    <x v="1"/>
    <x v="2"/>
    <x v="1"/>
    <x v="720"/>
    <x v="1"/>
    <x v="1"/>
    <x v="3"/>
    <x v="0"/>
    <x v="1"/>
    <x v="3"/>
    <x v="3"/>
    <x v="0"/>
  </r>
  <r>
    <x v="721"/>
    <x v="210"/>
    <x v="1"/>
    <x v="4"/>
    <x v="2"/>
    <x v="721"/>
    <x v="3"/>
    <x v="1"/>
    <x v="3"/>
    <x v="0"/>
    <x v="2"/>
    <x v="4"/>
    <x v="3"/>
    <x v="0"/>
  </r>
  <r>
    <x v="722"/>
    <x v="144"/>
    <x v="1"/>
    <x v="1"/>
    <x v="0"/>
    <x v="722"/>
    <x v="2"/>
    <x v="1"/>
    <x v="4"/>
    <x v="0"/>
    <x v="3"/>
    <x v="1"/>
    <x v="1"/>
    <x v="0"/>
  </r>
  <r>
    <x v="723"/>
    <x v="318"/>
    <x v="1"/>
    <x v="0"/>
    <x v="2"/>
    <x v="723"/>
    <x v="1"/>
    <x v="1"/>
    <x v="1"/>
    <x v="0"/>
    <x v="3"/>
    <x v="2"/>
    <x v="2"/>
    <x v="0"/>
  </r>
  <r>
    <x v="724"/>
    <x v="319"/>
    <x v="1"/>
    <x v="9"/>
    <x v="2"/>
    <x v="724"/>
    <x v="2"/>
    <x v="4"/>
    <x v="3"/>
    <x v="1"/>
    <x v="3"/>
    <x v="3"/>
    <x v="3"/>
    <x v="0"/>
  </r>
  <r>
    <x v="725"/>
    <x v="200"/>
    <x v="1"/>
    <x v="3"/>
    <x v="2"/>
    <x v="725"/>
    <x v="4"/>
    <x v="5"/>
    <x v="4"/>
    <x v="1"/>
    <x v="1"/>
    <x v="3"/>
    <x v="3"/>
    <x v="0"/>
  </r>
  <r>
    <x v="726"/>
    <x v="320"/>
    <x v="1"/>
    <x v="10"/>
    <x v="2"/>
    <x v="726"/>
    <x v="1"/>
    <x v="6"/>
    <x v="3"/>
    <x v="1"/>
    <x v="5"/>
    <x v="2"/>
    <x v="2"/>
    <x v="0"/>
  </r>
  <r>
    <x v="727"/>
    <x v="274"/>
    <x v="1"/>
    <x v="4"/>
    <x v="0"/>
    <x v="727"/>
    <x v="2"/>
    <x v="1"/>
    <x v="2"/>
    <x v="0"/>
    <x v="5"/>
    <x v="2"/>
    <x v="2"/>
    <x v="0"/>
  </r>
  <r>
    <x v="728"/>
    <x v="193"/>
    <x v="0"/>
    <x v="2"/>
    <x v="2"/>
    <x v="728"/>
    <x v="0"/>
    <x v="1"/>
    <x v="2"/>
    <x v="0"/>
    <x v="1"/>
    <x v="5"/>
    <x v="3"/>
    <x v="0"/>
  </r>
  <r>
    <x v="729"/>
    <x v="112"/>
    <x v="1"/>
    <x v="0"/>
    <x v="0"/>
    <x v="729"/>
    <x v="0"/>
    <x v="6"/>
    <x v="2"/>
    <x v="0"/>
    <x v="3"/>
    <x v="5"/>
    <x v="3"/>
    <x v="0"/>
  </r>
  <r>
    <x v="730"/>
    <x v="321"/>
    <x v="1"/>
    <x v="5"/>
    <x v="2"/>
    <x v="730"/>
    <x v="0"/>
    <x v="3"/>
    <x v="1"/>
    <x v="0"/>
    <x v="4"/>
    <x v="1"/>
    <x v="1"/>
    <x v="0"/>
  </r>
  <r>
    <x v="731"/>
    <x v="229"/>
    <x v="1"/>
    <x v="3"/>
    <x v="0"/>
    <x v="731"/>
    <x v="3"/>
    <x v="1"/>
    <x v="0"/>
    <x v="1"/>
    <x v="4"/>
    <x v="3"/>
    <x v="3"/>
    <x v="0"/>
  </r>
  <r>
    <x v="732"/>
    <x v="124"/>
    <x v="1"/>
    <x v="5"/>
    <x v="0"/>
    <x v="732"/>
    <x v="2"/>
    <x v="2"/>
    <x v="2"/>
    <x v="1"/>
    <x v="2"/>
    <x v="5"/>
    <x v="3"/>
    <x v="0"/>
  </r>
  <r>
    <x v="733"/>
    <x v="215"/>
    <x v="1"/>
    <x v="10"/>
    <x v="0"/>
    <x v="733"/>
    <x v="0"/>
    <x v="5"/>
    <x v="3"/>
    <x v="0"/>
    <x v="2"/>
    <x v="0"/>
    <x v="0"/>
    <x v="0"/>
  </r>
  <r>
    <x v="734"/>
    <x v="322"/>
    <x v="1"/>
    <x v="3"/>
    <x v="2"/>
    <x v="734"/>
    <x v="1"/>
    <x v="3"/>
    <x v="3"/>
    <x v="0"/>
    <x v="3"/>
    <x v="5"/>
    <x v="3"/>
    <x v="0"/>
  </r>
  <r>
    <x v="735"/>
    <x v="323"/>
    <x v="1"/>
    <x v="8"/>
    <x v="2"/>
    <x v="735"/>
    <x v="1"/>
    <x v="4"/>
    <x v="0"/>
    <x v="1"/>
    <x v="3"/>
    <x v="5"/>
    <x v="3"/>
    <x v="0"/>
  </r>
  <r>
    <x v="736"/>
    <x v="266"/>
    <x v="1"/>
    <x v="1"/>
    <x v="0"/>
    <x v="736"/>
    <x v="0"/>
    <x v="1"/>
    <x v="2"/>
    <x v="0"/>
    <x v="4"/>
    <x v="2"/>
    <x v="2"/>
    <x v="0"/>
  </r>
  <r>
    <x v="737"/>
    <x v="107"/>
    <x v="1"/>
    <x v="5"/>
    <x v="2"/>
    <x v="737"/>
    <x v="0"/>
    <x v="0"/>
    <x v="2"/>
    <x v="0"/>
    <x v="2"/>
    <x v="3"/>
    <x v="3"/>
    <x v="0"/>
  </r>
  <r>
    <x v="738"/>
    <x v="23"/>
    <x v="0"/>
    <x v="10"/>
    <x v="2"/>
    <x v="738"/>
    <x v="4"/>
    <x v="0"/>
    <x v="4"/>
    <x v="1"/>
    <x v="1"/>
    <x v="0"/>
    <x v="0"/>
    <x v="0"/>
  </r>
  <r>
    <x v="739"/>
    <x v="74"/>
    <x v="1"/>
    <x v="6"/>
    <x v="0"/>
    <x v="739"/>
    <x v="3"/>
    <x v="0"/>
    <x v="1"/>
    <x v="0"/>
    <x v="0"/>
    <x v="0"/>
    <x v="0"/>
    <x v="0"/>
  </r>
  <r>
    <x v="740"/>
    <x v="14"/>
    <x v="1"/>
    <x v="0"/>
    <x v="0"/>
    <x v="740"/>
    <x v="3"/>
    <x v="3"/>
    <x v="2"/>
    <x v="1"/>
    <x v="4"/>
    <x v="5"/>
    <x v="3"/>
    <x v="0"/>
  </r>
  <r>
    <x v="741"/>
    <x v="181"/>
    <x v="1"/>
    <x v="8"/>
    <x v="2"/>
    <x v="741"/>
    <x v="3"/>
    <x v="3"/>
    <x v="4"/>
    <x v="1"/>
    <x v="1"/>
    <x v="2"/>
    <x v="2"/>
    <x v="0"/>
  </r>
  <r>
    <x v="742"/>
    <x v="223"/>
    <x v="1"/>
    <x v="7"/>
    <x v="2"/>
    <x v="742"/>
    <x v="2"/>
    <x v="6"/>
    <x v="0"/>
    <x v="0"/>
    <x v="5"/>
    <x v="3"/>
    <x v="3"/>
    <x v="0"/>
  </r>
  <r>
    <x v="743"/>
    <x v="10"/>
    <x v="1"/>
    <x v="7"/>
    <x v="1"/>
    <x v="743"/>
    <x v="1"/>
    <x v="4"/>
    <x v="2"/>
    <x v="0"/>
    <x v="4"/>
    <x v="0"/>
    <x v="0"/>
    <x v="0"/>
  </r>
  <r>
    <x v="744"/>
    <x v="7"/>
    <x v="1"/>
    <x v="6"/>
    <x v="2"/>
    <x v="744"/>
    <x v="0"/>
    <x v="0"/>
    <x v="2"/>
    <x v="0"/>
    <x v="4"/>
    <x v="3"/>
    <x v="3"/>
    <x v="0"/>
  </r>
  <r>
    <x v="745"/>
    <x v="92"/>
    <x v="1"/>
    <x v="1"/>
    <x v="2"/>
    <x v="745"/>
    <x v="0"/>
    <x v="1"/>
    <x v="2"/>
    <x v="0"/>
    <x v="5"/>
    <x v="5"/>
    <x v="3"/>
    <x v="0"/>
  </r>
  <r>
    <x v="746"/>
    <x v="243"/>
    <x v="1"/>
    <x v="1"/>
    <x v="2"/>
    <x v="746"/>
    <x v="0"/>
    <x v="4"/>
    <x v="3"/>
    <x v="0"/>
    <x v="4"/>
    <x v="3"/>
    <x v="3"/>
    <x v="0"/>
  </r>
  <r>
    <x v="747"/>
    <x v="324"/>
    <x v="0"/>
    <x v="1"/>
    <x v="0"/>
    <x v="747"/>
    <x v="1"/>
    <x v="3"/>
    <x v="2"/>
    <x v="0"/>
    <x v="5"/>
    <x v="5"/>
    <x v="3"/>
    <x v="0"/>
  </r>
  <r>
    <x v="748"/>
    <x v="325"/>
    <x v="0"/>
    <x v="7"/>
    <x v="2"/>
    <x v="748"/>
    <x v="0"/>
    <x v="2"/>
    <x v="1"/>
    <x v="0"/>
    <x v="1"/>
    <x v="0"/>
    <x v="0"/>
    <x v="0"/>
  </r>
  <r>
    <x v="749"/>
    <x v="302"/>
    <x v="1"/>
    <x v="1"/>
    <x v="2"/>
    <x v="749"/>
    <x v="1"/>
    <x v="4"/>
    <x v="1"/>
    <x v="0"/>
    <x v="4"/>
    <x v="5"/>
    <x v="3"/>
    <x v="0"/>
  </r>
  <r>
    <x v="750"/>
    <x v="227"/>
    <x v="1"/>
    <x v="0"/>
    <x v="2"/>
    <x v="750"/>
    <x v="0"/>
    <x v="6"/>
    <x v="0"/>
    <x v="0"/>
    <x v="4"/>
    <x v="0"/>
    <x v="0"/>
    <x v="0"/>
  </r>
  <r>
    <x v="751"/>
    <x v="326"/>
    <x v="1"/>
    <x v="0"/>
    <x v="0"/>
    <x v="751"/>
    <x v="3"/>
    <x v="3"/>
    <x v="1"/>
    <x v="0"/>
    <x v="1"/>
    <x v="0"/>
    <x v="0"/>
    <x v="0"/>
  </r>
  <r>
    <x v="752"/>
    <x v="77"/>
    <x v="1"/>
    <x v="2"/>
    <x v="2"/>
    <x v="752"/>
    <x v="1"/>
    <x v="2"/>
    <x v="3"/>
    <x v="0"/>
    <x v="5"/>
    <x v="5"/>
    <x v="3"/>
    <x v="0"/>
  </r>
  <r>
    <x v="753"/>
    <x v="153"/>
    <x v="1"/>
    <x v="1"/>
    <x v="1"/>
    <x v="753"/>
    <x v="1"/>
    <x v="5"/>
    <x v="4"/>
    <x v="1"/>
    <x v="3"/>
    <x v="3"/>
    <x v="3"/>
    <x v="0"/>
  </r>
  <r>
    <x v="754"/>
    <x v="6"/>
    <x v="2"/>
    <x v="5"/>
    <x v="2"/>
    <x v="754"/>
    <x v="2"/>
    <x v="1"/>
    <x v="4"/>
    <x v="0"/>
    <x v="2"/>
    <x v="0"/>
    <x v="0"/>
    <x v="0"/>
  </r>
  <r>
    <x v="755"/>
    <x v="327"/>
    <x v="0"/>
    <x v="7"/>
    <x v="2"/>
    <x v="755"/>
    <x v="0"/>
    <x v="2"/>
    <x v="3"/>
    <x v="0"/>
    <x v="0"/>
    <x v="0"/>
    <x v="0"/>
    <x v="0"/>
  </r>
  <r>
    <x v="756"/>
    <x v="182"/>
    <x v="1"/>
    <x v="4"/>
    <x v="0"/>
    <x v="756"/>
    <x v="3"/>
    <x v="1"/>
    <x v="2"/>
    <x v="0"/>
    <x v="3"/>
    <x v="5"/>
    <x v="3"/>
    <x v="0"/>
  </r>
  <r>
    <x v="757"/>
    <x v="20"/>
    <x v="1"/>
    <x v="10"/>
    <x v="0"/>
    <x v="757"/>
    <x v="3"/>
    <x v="2"/>
    <x v="1"/>
    <x v="0"/>
    <x v="5"/>
    <x v="0"/>
    <x v="0"/>
    <x v="0"/>
  </r>
  <r>
    <x v="758"/>
    <x v="141"/>
    <x v="0"/>
    <x v="7"/>
    <x v="2"/>
    <x v="758"/>
    <x v="0"/>
    <x v="3"/>
    <x v="2"/>
    <x v="0"/>
    <x v="2"/>
    <x v="0"/>
    <x v="0"/>
    <x v="0"/>
  </r>
  <r>
    <x v="759"/>
    <x v="185"/>
    <x v="1"/>
    <x v="5"/>
    <x v="2"/>
    <x v="759"/>
    <x v="2"/>
    <x v="3"/>
    <x v="0"/>
    <x v="1"/>
    <x v="2"/>
    <x v="5"/>
    <x v="3"/>
    <x v="0"/>
  </r>
  <r>
    <x v="760"/>
    <x v="51"/>
    <x v="0"/>
    <x v="6"/>
    <x v="1"/>
    <x v="760"/>
    <x v="3"/>
    <x v="3"/>
    <x v="3"/>
    <x v="1"/>
    <x v="2"/>
    <x v="2"/>
    <x v="2"/>
    <x v="0"/>
  </r>
  <r>
    <x v="761"/>
    <x v="252"/>
    <x v="1"/>
    <x v="10"/>
    <x v="0"/>
    <x v="761"/>
    <x v="1"/>
    <x v="0"/>
    <x v="4"/>
    <x v="0"/>
    <x v="1"/>
    <x v="4"/>
    <x v="3"/>
    <x v="0"/>
  </r>
  <r>
    <x v="762"/>
    <x v="213"/>
    <x v="1"/>
    <x v="0"/>
    <x v="2"/>
    <x v="762"/>
    <x v="4"/>
    <x v="4"/>
    <x v="2"/>
    <x v="1"/>
    <x v="2"/>
    <x v="0"/>
    <x v="0"/>
    <x v="0"/>
  </r>
  <r>
    <x v="763"/>
    <x v="161"/>
    <x v="0"/>
    <x v="7"/>
    <x v="2"/>
    <x v="763"/>
    <x v="0"/>
    <x v="5"/>
    <x v="1"/>
    <x v="0"/>
    <x v="2"/>
    <x v="1"/>
    <x v="1"/>
    <x v="0"/>
  </r>
  <r>
    <x v="764"/>
    <x v="254"/>
    <x v="1"/>
    <x v="5"/>
    <x v="0"/>
    <x v="764"/>
    <x v="1"/>
    <x v="6"/>
    <x v="1"/>
    <x v="0"/>
    <x v="3"/>
    <x v="1"/>
    <x v="1"/>
    <x v="0"/>
  </r>
  <r>
    <x v="765"/>
    <x v="149"/>
    <x v="0"/>
    <x v="5"/>
    <x v="2"/>
    <x v="765"/>
    <x v="3"/>
    <x v="6"/>
    <x v="0"/>
    <x v="0"/>
    <x v="4"/>
    <x v="5"/>
    <x v="3"/>
    <x v="0"/>
  </r>
  <r>
    <x v="766"/>
    <x v="281"/>
    <x v="0"/>
    <x v="1"/>
    <x v="0"/>
    <x v="766"/>
    <x v="0"/>
    <x v="4"/>
    <x v="4"/>
    <x v="0"/>
    <x v="5"/>
    <x v="1"/>
    <x v="1"/>
    <x v="0"/>
  </r>
  <r>
    <x v="767"/>
    <x v="247"/>
    <x v="1"/>
    <x v="2"/>
    <x v="0"/>
    <x v="767"/>
    <x v="0"/>
    <x v="6"/>
    <x v="4"/>
    <x v="0"/>
    <x v="1"/>
    <x v="3"/>
    <x v="3"/>
    <x v="0"/>
  </r>
  <r>
    <x v="768"/>
    <x v="208"/>
    <x v="1"/>
    <x v="3"/>
    <x v="0"/>
    <x v="768"/>
    <x v="4"/>
    <x v="6"/>
    <x v="1"/>
    <x v="0"/>
    <x v="1"/>
    <x v="1"/>
    <x v="1"/>
    <x v="0"/>
  </r>
  <r>
    <x v="769"/>
    <x v="35"/>
    <x v="0"/>
    <x v="7"/>
    <x v="2"/>
    <x v="769"/>
    <x v="1"/>
    <x v="2"/>
    <x v="2"/>
    <x v="0"/>
    <x v="4"/>
    <x v="4"/>
    <x v="3"/>
    <x v="0"/>
  </r>
  <r>
    <x v="770"/>
    <x v="328"/>
    <x v="1"/>
    <x v="0"/>
    <x v="1"/>
    <x v="770"/>
    <x v="0"/>
    <x v="2"/>
    <x v="4"/>
    <x v="0"/>
    <x v="1"/>
    <x v="1"/>
    <x v="1"/>
    <x v="0"/>
  </r>
  <r>
    <x v="771"/>
    <x v="116"/>
    <x v="0"/>
    <x v="2"/>
    <x v="0"/>
    <x v="771"/>
    <x v="3"/>
    <x v="5"/>
    <x v="1"/>
    <x v="1"/>
    <x v="0"/>
    <x v="4"/>
    <x v="3"/>
    <x v="0"/>
  </r>
  <r>
    <x v="772"/>
    <x v="190"/>
    <x v="1"/>
    <x v="8"/>
    <x v="1"/>
    <x v="772"/>
    <x v="0"/>
    <x v="3"/>
    <x v="2"/>
    <x v="0"/>
    <x v="0"/>
    <x v="5"/>
    <x v="3"/>
    <x v="0"/>
  </r>
  <r>
    <x v="773"/>
    <x v="11"/>
    <x v="1"/>
    <x v="8"/>
    <x v="2"/>
    <x v="773"/>
    <x v="4"/>
    <x v="5"/>
    <x v="1"/>
    <x v="1"/>
    <x v="4"/>
    <x v="4"/>
    <x v="3"/>
    <x v="0"/>
  </r>
  <r>
    <x v="774"/>
    <x v="291"/>
    <x v="1"/>
    <x v="4"/>
    <x v="2"/>
    <x v="774"/>
    <x v="1"/>
    <x v="3"/>
    <x v="2"/>
    <x v="1"/>
    <x v="1"/>
    <x v="3"/>
    <x v="3"/>
    <x v="0"/>
  </r>
  <r>
    <x v="775"/>
    <x v="317"/>
    <x v="1"/>
    <x v="9"/>
    <x v="2"/>
    <x v="775"/>
    <x v="0"/>
    <x v="6"/>
    <x v="3"/>
    <x v="0"/>
    <x v="4"/>
    <x v="3"/>
    <x v="3"/>
    <x v="0"/>
  </r>
  <r>
    <x v="776"/>
    <x v="329"/>
    <x v="1"/>
    <x v="6"/>
    <x v="0"/>
    <x v="776"/>
    <x v="2"/>
    <x v="4"/>
    <x v="2"/>
    <x v="1"/>
    <x v="5"/>
    <x v="2"/>
    <x v="2"/>
    <x v="0"/>
  </r>
  <r>
    <x v="777"/>
    <x v="91"/>
    <x v="1"/>
    <x v="4"/>
    <x v="2"/>
    <x v="777"/>
    <x v="4"/>
    <x v="2"/>
    <x v="3"/>
    <x v="1"/>
    <x v="1"/>
    <x v="5"/>
    <x v="3"/>
    <x v="0"/>
  </r>
  <r>
    <x v="778"/>
    <x v="237"/>
    <x v="0"/>
    <x v="10"/>
    <x v="0"/>
    <x v="778"/>
    <x v="3"/>
    <x v="5"/>
    <x v="4"/>
    <x v="1"/>
    <x v="4"/>
    <x v="4"/>
    <x v="3"/>
    <x v="0"/>
  </r>
  <r>
    <x v="779"/>
    <x v="211"/>
    <x v="1"/>
    <x v="10"/>
    <x v="0"/>
    <x v="779"/>
    <x v="3"/>
    <x v="2"/>
    <x v="0"/>
    <x v="0"/>
    <x v="0"/>
    <x v="5"/>
    <x v="3"/>
    <x v="0"/>
  </r>
  <r>
    <x v="780"/>
    <x v="206"/>
    <x v="1"/>
    <x v="1"/>
    <x v="0"/>
    <x v="780"/>
    <x v="4"/>
    <x v="3"/>
    <x v="0"/>
    <x v="0"/>
    <x v="0"/>
    <x v="1"/>
    <x v="1"/>
    <x v="0"/>
  </r>
  <r>
    <x v="781"/>
    <x v="83"/>
    <x v="1"/>
    <x v="8"/>
    <x v="1"/>
    <x v="781"/>
    <x v="3"/>
    <x v="1"/>
    <x v="2"/>
    <x v="1"/>
    <x v="3"/>
    <x v="5"/>
    <x v="3"/>
    <x v="0"/>
  </r>
  <r>
    <x v="782"/>
    <x v="170"/>
    <x v="1"/>
    <x v="0"/>
    <x v="0"/>
    <x v="782"/>
    <x v="2"/>
    <x v="5"/>
    <x v="4"/>
    <x v="1"/>
    <x v="4"/>
    <x v="0"/>
    <x v="0"/>
    <x v="0"/>
  </r>
  <r>
    <x v="783"/>
    <x v="129"/>
    <x v="1"/>
    <x v="5"/>
    <x v="2"/>
    <x v="783"/>
    <x v="2"/>
    <x v="3"/>
    <x v="1"/>
    <x v="1"/>
    <x v="5"/>
    <x v="1"/>
    <x v="1"/>
    <x v="0"/>
  </r>
  <r>
    <x v="784"/>
    <x v="178"/>
    <x v="0"/>
    <x v="0"/>
    <x v="0"/>
    <x v="784"/>
    <x v="4"/>
    <x v="4"/>
    <x v="2"/>
    <x v="0"/>
    <x v="3"/>
    <x v="4"/>
    <x v="3"/>
    <x v="0"/>
  </r>
  <r>
    <x v="785"/>
    <x v="219"/>
    <x v="0"/>
    <x v="1"/>
    <x v="0"/>
    <x v="785"/>
    <x v="2"/>
    <x v="5"/>
    <x v="0"/>
    <x v="0"/>
    <x v="0"/>
    <x v="3"/>
    <x v="3"/>
    <x v="0"/>
  </r>
  <r>
    <x v="786"/>
    <x v="220"/>
    <x v="1"/>
    <x v="1"/>
    <x v="0"/>
    <x v="786"/>
    <x v="1"/>
    <x v="5"/>
    <x v="1"/>
    <x v="0"/>
    <x v="0"/>
    <x v="0"/>
    <x v="0"/>
    <x v="0"/>
  </r>
  <r>
    <x v="787"/>
    <x v="51"/>
    <x v="0"/>
    <x v="6"/>
    <x v="1"/>
    <x v="787"/>
    <x v="2"/>
    <x v="3"/>
    <x v="2"/>
    <x v="1"/>
    <x v="3"/>
    <x v="4"/>
    <x v="3"/>
    <x v="0"/>
  </r>
  <r>
    <x v="788"/>
    <x v="60"/>
    <x v="0"/>
    <x v="4"/>
    <x v="2"/>
    <x v="788"/>
    <x v="2"/>
    <x v="0"/>
    <x v="1"/>
    <x v="0"/>
    <x v="2"/>
    <x v="4"/>
    <x v="3"/>
    <x v="0"/>
  </r>
  <r>
    <x v="789"/>
    <x v="230"/>
    <x v="1"/>
    <x v="7"/>
    <x v="2"/>
    <x v="789"/>
    <x v="1"/>
    <x v="0"/>
    <x v="4"/>
    <x v="0"/>
    <x v="3"/>
    <x v="0"/>
    <x v="0"/>
    <x v="0"/>
  </r>
  <r>
    <x v="790"/>
    <x v="52"/>
    <x v="1"/>
    <x v="5"/>
    <x v="2"/>
    <x v="790"/>
    <x v="2"/>
    <x v="2"/>
    <x v="3"/>
    <x v="1"/>
    <x v="3"/>
    <x v="2"/>
    <x v="2"/>
    <x v="0"/>
  </r>
  <r>
    <x v="791"/>
    <x v="127"/>
    <x v="0"/>
    <x v="1"/>
    <x v="1"/>
    <x v="791"/>
    <x v="0"/>
    <x v="6"/>
    <x v="2"/>
    <x v="0"/>
    <x v="5"/>
    <x v="3"/>
    <x v="3"/>
    <x v="0"/>
  </r>
  <r>
    <x v="792"/>
    <x v="203"/>
    <x v="1"/>
    <x v="4"/>
    <x v="2"/>
    <x v="792"/>
    <x v="1"/>
    <x v="5"/>
    <x v="2"/>
    <x v="0"/>
    <x v="3"/>
    <x v="2"/>
    <x v="2"/>
    <x v="0"/>
  </r>
  <r>
    <x v="793"/>
    <x v="145"/>
    <x v="1"/>
    <x v="5"/>
    <x v="2"/>
    <x v="793"/>
    <x v="2"/>
    <x v="5"/>
    <x v="3"/>
    <x v="1"/>
    <x v="3"/>
    <x v="0"/>
    <x v="0"/>
    <x v="0"/>
  </r>
  <r>
    <x v="794"/>
    <x v="51"/>
    <x v="0"/>
    <x v="6"/>
    <x v="1"/>
    <x v="794"/>
    <x v="0"/>
    <x v="4"/>
    <x v="3"/>
    <x v="0"/>
    <x v="3"/>
    <x v="3"/>
    <x v="3"/>
    <x v="0"/>
  </r>
  <r>
    <x v="795"/>
    <x v="309"/>
    <x v="1"/>
    <x v="0"/>
    <x v="0"/>
    <x v="795"/>
    <x v="2"/>
    <x v="0"/>
    <x v="0"/>
    <x v="0"/>
    <x v="2"/>
    <x v="3"/>
    <x v="3"/>
    <x v="0"/>
  </r>
  <r>
    <x v="796"/>
    <x v="330"/>
    <x v="0"/>
    <x v="0"/>
    <x v="2"/>
    <x v="796"/>
    <x v="1"/>
    <x v="5"/>
    <x v="0"/>
    <x v="0"/>
    <x v="3"/>
    <x v="4"/>
    <x v="3"/>
    <x v="0"/>
  </r>
  <r>
    <x v="797"/>
    <x v="156"/>
    <x v="1"/>
    <x v="3"/>
    <x v="2"/>
    <x v="797"/>
    <x v="3"/>
    <x v="3"/>
    <x v="3"/>
    <x v="0"/>
    <x v="5"/>
    <x v="4"/>
    <x v="3"/>
    <x v="0"/>
  </r>
  <r>
    <x v="798"/>
    <x v="329"/>
    <x v="1"/>
    <x v="6"/>
    <x v="0"/>
    <x v="798"/>
    <x v="0"/>
    <x v="2"/>
    <x v="1"/>
    <x v="0"/>
    <x v="2"/>
    <x v="1"/>
    <x v="1"/>
    <x v="0"/>
  </r>
  <r>
    <x v="799"/>
    <x v="154"/>
    <x v="1"/>
    <x v="10"/>
    <x v="2"/>
    <x v="799"/>
    <x v="2"/>
    <x v="4"/>
    <x v="1"/>
    <x v="0"/>
    <x v="3"/>
    <x v="3"/>
    <x v="3"/>
    <x v="0"/>
  </r>
  <r>
    <x v="800"/>
    <x v="289"/>
    <x v="0"/>
    <x v="1"/>
    <x v="0"/>
    <x v="800"/>
    <x v="2"/>
    <x v="3"/>
    <x v="1"/>
    <x v="0"/>
    <x v="0"/>
    <x v="4"/>
    <x v="3"/>
    <x v="0"/>
  </r>
  <r>
    <x v="801"/>
    <x v="313"/>
    <x v="1"/>
    <x v="2"/>
    <x v="2"/>
    <x v="801"/>
    <x v="4"/>
    <x v="4"/>
    <x v="2"/>
    <x v="0"/>
    <x v="5"/>
    <x v="5"/>
    <x v="3"/>
    <x v="0"/>
  </r>
  <r>
    <x v="802"/>
    <x v="66"/>
    <x v="1"/>
    <x v="0"/>
    <x v="2"/>
    <x v="802"/>
    <x v="4"/>
    <x v="5"/>
    <x v="0"/>
    <x v="1"/>
    <x v="2"/>
    <x v="1"/>
    <x v="1"/>
    <x v="0"/>
  </r>
  <r>
    <x v="803"/>
    <x v="145"/>
    <x v="1"/>
    <x v="5"/>
    <x v="2"/>
    <x v="803"/>
    <x v="3"/>
    <x v="2"/>
    <x v="4"/>
    <x v="1"/>
    <x v="0"/>
    <x v="5"/>
    <x v="3"/>
    <x v="0"/>
  </r>
  <r>
    <x v="804"/>
    <x v="34"/>
    <x v="1"/>
    <x v="3"/>
    <x v="2"/>
    <x v="804"/>
    <x v="3"/>
    <x v="6"/>
    <x v="4"/>
    <x v="1"/>
    <x v="4"/>
    <x v="5"/>
    <x v="3"/>
    <x v="0"/>
  </r>
  <r>
    <x v="805"/>
    <x v="48"/>
    <x v="0"/>
    <x v="0"/>
    <x v="0"/>
    <x v="805"/>
    <x v="3"/>
    <x v="5"/>
    <x v="4"/>
    <x v="0"/>
    <x v="4"/>
    <x v="4"/>
    <x v="3"/>
    <x v="0"/>
  </r>
  <r>
    <x v="806"/>
    <x v="331"/>
    <x v="1"/>
    <x v="10"/>
    <x v="2"/>
    <x v="806"/>
    <x v="2"/>
    <x v="6"/>
    <x v="4"/>
    <x v="1"/>
    <x v="0"/>
    <x v="2"/>
    <x v="2"/>
    <x v="0"/>
  </r>
  <r>
    <x v="807"/>
    <x v="306"/>
    <x v="1"/>
    <x v="5"/>
    <x v="2"/>
    <x v="807"/>
    <x v="1"/>
    <x v="6"/>
    <x v="1"/>
    <x v="0"/>
    <x v="0"/>
    <x v="5"/>
    <x v="3"/>
    <x v="0"/>
  </r>
  <r>
    <x v="808"/>
    <x v="258"/>
    <x v="1"/>
    <x v="5"/>
    <x v="0"/>
    <x v="808"/>
    <x v="2"/>
    <x v="3"/>
    <x v="4"/>
    <x v="0"/>
    <x v="3"/>
    <x v="2"/>
    <x v="2"/>
    <x v="0"/>
  </r>
  <r>
    <x v="809"/>
    <x v="252"/>
    <x v="1"/>
    <x v="10"/>
    <x v="0"/>
    <x v="809"/>
    <x v="2"/>
    <x v="5"/>
    <x v="2"/>
    <x v="0"/>
    <x v="2"/>
    <x v="1"/>
    <x v="1"/>
    <x v="0"/>
  </r>
  <r>
    <x v="810"/>
    <x v="13"/>
    <x v="0"/>
    <x v="4"/>
    <x v="2"/>
    <x v="810"/>
    <x v="2"/>
    <x v="3"/>
    <x v="1"/>
    <x v="0"/>
    <x v="5"/>
    <x v="3"/>
    <x v="3"/>
    <x v="0"/>
  </r>
  <r>
    <x v="811"/>
    <x v="229"/>
    <x v="1"/>
    <x v="3"/>
    <x v="0"/>
    <x v="811"/>
    <x v="2"/>
    <x v="0"/>
    <x v="1"/>
    <x v="1"/>
    <x v="5"/>
    <x v="0"/>
    <x v="0"/>
    <x v="0"/>
  </r>
  <r>
    <x v="812"/>
    <x v="161"/>
    <x v="0"/>
    <x v="7"/>
    <x v="2"/>
    <x v="812"/>
    <x v="2"/>
    <x v="3"/>
    <x v="1"/>
    <x v="0"/>
    <x v="0"/>
    <x v="1"/>
    <x v="1"/>
    <x v="0"/>
  </r>
  <r>
    <x v="813"/>
    <x v="6"/>
    <x v="2"/>
    <x v="5"/>
    <x v="2"/>
    <x v="813"/>
    <x v="2"/>
    <x v="3"/>
    <x v="0"/>
    <x v="0"/>
    <x v="4"/>
    <x v="3"/>
    <x v="3"/>
    <x v="0"/>
  </r>
  <r>
    <x v="814"/>
    <x v="215"/>
    <x v="1"/>
    <x v="10"/>
    <x v="0"/>
    <x v="814"/>
    <x v="4"/>
    <x v="5"/>
    <x v="0"/>
    <x v="1"/>
    <x v="2"/>
    <x v="0"/>
    <x v="0"/>
    <x v="0"/>
  </r>
  <r>
    <x v="815"/>
    <x v="258"/>
    <x v="1"/>
    <x v="5"/>
    <x v="0"/>
    <x v="815"/>
    <x v="4"/>
    <x v="3"/>
    <x v="2"/>
    <x v="0"/>
    <x v="1"/>
    <x v="5"/>
    <x v="3"/>
    <x v="0"/>
  </r>
  <r>
    <x v="816"/>
    <x v="156"/>
    <x v="1"/>
    <x v="3"/>
    <x v="2"/>
    <x v="816"/>
    <x v="0"/>
    <x v="4"/>
    <x v="1"/>
    <x v="0"/>
    <x v="3"/>
    <x v="0"/>
    <x v="0"/>
    <x v="0"/>
  </r>
  <r>
    <x v="817"/>
    <x v="173"/>
    <x v="1"/>
    <x v="2"/>
    <x v="0"/>
    <x v="817"/>
    <x v="1"/>
    <x v="6"/>
    <x v="2"/>
    <x v="1"/>
    <x v="4"/>
    <x v="1"/>
    <x v="1"/>
    <x v="0"/>
  </r>
  <r>
    <x v="818"/>
    <x v="206"/>
    <x v="1"/>
    <x v="1"/>
    <x v="0"/>
    <x v="818"/>
    <x v="4"/>
    <x v="6"/>
    <x v="4"/>
    <x v="1"/>
    <x v="1"/>
    <x v="5"/>
    <x v="3"/>
    <x v="0"/>
  </r>
  <r>
    <x v="819"/>
    <x v="332"/>
    <x v="2"/>
    <x v="5"/>
    <x v="0"/>
    <x v="819"/>
    <x v="1"/>
    <x v="2"/>
    <x v="0"/>
    <x v="1"/>
    <x v="4"/>
    <x v="2"/>
    <x v="2"/>
    <x v="0"/>
  </r>
  <r>
    <x v="820"/>
    <x v="245"/>
    <x v="0"/>
    <x v="5"/>
    <x v="2"/>
    <x v="820"/>
    <x v="0"/>
    <x v="2"/>
    <x v="3"/>
    <x v="0"/>
    <x v="2"/>
    <x v="5"/>
    <x v="3"/>
    <x v="0"/>
  </r>
  <r>
    <x v="821"/>
    <x v="32"/>
    <x v="0"/>
    <x v="5"/>
    <x v="0"/>
    <x v="821"/>
    <x v="2"/>
    <x v="5"/>
    <x v="3"/>
    <x v="0"/>
    <x v="0"/>
    <x v="1"/>
    <x v="1"/>
    <x v="0"/>
  </r>
  <r>
    <x v="822"/>
    <x v="270"/>
    <x v="1"/>
    <x v="5"/>
    <x v="1"/>
    <x v="822"/>
    <x v="3"/>
    <x v="5"/>
    <x v="2"/>
    <x v="0"/>
    <x v="3"/>
    <x v="3"/>
    <x v="3"/>
    <x v="0"/>
  </r>
  <r>
    <x v="823"/>
    <x v="309"/>
    <x v="1"/>
    <x v="0"/>
    <x v="0"/>
    <x v="823"/>
    <x v="2"/>
    <x v="2"/>
    <x v="1"/>
    <x v="0"/>
    <x v="1"/>
    <x v="3"/>
    <x v="3"/>
    <x v="0"/>
  </r>
  <r>
    <x v="824"/>
    <x v="217"/>
    <x v="0"/>
    <x v="0"/>
    <x v="0"/>
    <x v="824"/>
    <x v="1"/>
    <x v="0"/>
    <x v="0"/>
    <x v="0"/>
    <x v="3"/>
    <x v="5"/>
    <x v="3"/>
    <x v="0"/>
  </r>
  <r>
    <x v="825"/>
    <x v="65"/>
    <x v="0"/>
    <x v="2"/>
    <x v="0"/>
    <x v="825"/>
    <x v="0"/>
    <x v="6"/>
    <x v="1"/>
    <x v="0"/>
    <x v="3"/>
    <x v="4"/>
    <x v="3"/>
    <x v="0"/>
  </r>
  <r>
    <x v="826"/>
    <x v="333"/>
    <x v="0"/>
    <x v="5"/>
    <x v="2"/>
    <x v="826"/>
    <x v="1"/>
    <x v="2"/>
    <x v="3"/>
    <x v="1"/>
    <x v="1"/>
    <x v="5"/>
    <x v="3"/>
    <x v="0"/>
  </r>
  <r>
    <x v="827"/>
    <x v="205"/>
    <x v="1"/>
    <x v="7"/>
    <x v="1"/>
    <x v="827"/>
    <x v="2"/>
    <x v="4"/>
    <x v="4"/>
    <x v="1"/>
    <x v="3"/>
    <x v="3"/>
    <x v="3"/>
    <x v="0"/>
  </r>
  <r>
    <x v="828"/>
    <x v="334"/>
    <x v="1"/>
    <x v="0"/>
    <x v="0"/>
    <x v="828"/>
    <x v="0"/>
    <x v="3"/>
    <x v="0"/>
    <x v="0"/>
    <x v="5"/>
    <x v="3"/>
    <x v="3"/>
    <x v="0"/>
  </r>
  <r>
    <x v="829"/>
    <x v="143"/>
    <x v="1"/>
    <x v="6"/>
    <x v="0"/>
    <x v="829"/>
    <x v="4"/>
    <x v="0"/>
    <x v="0"/>
    <x v="0"/>
    <x v="4"/>
    <x v="1"/>
    <x v="1"/>
    <x v="0"/>
  </r>
  <r>
    <x v="830"/>
    <x v="127"/>
    <x v="0"/>
    <x v="1"/>
    <x v="1"/>
    <x v="830"/>
    <x v="2"/>
    <x v="0"/>
    <x v="0"/>
    <x v="0"/>
    <x v="3"/>
    <x v="4"/>
    <x v="3"/>
    <x v="0"/>
  </r>
  <r>
    <x v="831"/>
    <x v="48"/>
    <x v="0"/>
    <x v="0"/>
    <x v="0"/>
    <x v="831"/>
    <x v="2"/>
    <x v="6"/>
    <x v="0"/>
    <x v="0"/>
    <x v="5"/>
    <x v="0"/>
    <x v="0"/>
    <x v="0"/>
  </r>
  <r>
    <x v="832"/>
    <x v="322"/>
    <x v="1"/>
    <x v="3"/>
    <x v="2"/>
    <x v="832"/>
    <x v="3"/>
    <x v="4"/>
    <x v="3"/>
    <x v="1"/>
    <x v="2"/>
    <x v="1"/>
    <x v="1"/>
    <x v="0"/>
  </r>
  <r>
    <x v="833"/>
    <x v="147"/>
    <x v="0"/>
    <x v="5"/>
    <x v="2"/>
    <x v="833"/>
    <x v="2"/>
    <x v="2"/>
    <x v="4"/>
    <x v="0"/>
    <x v="5"/>
    <x v="2"/>
    <x v="2"/>
    <x v="0"/>
  </r>
  <r>
    <x v="834"/>
    <x v="23"/>
    <x v="0"/>
    <x v="10"/>
    <x v="2"/>
    <x v="834"/>
    <x v="0"/>
    <x v="4"/>
    <x v="1"/>
    <x v="0"/>
    <x v="5"/>
    <x v="1"/>
    <x v="1"/>
    <x v="0"/>
  </r>
  <r>
    <x v="835"/>
    <x v="3"/>
    <x v="1"/>
    <x v="1"/>
    <x v="2"/>
    <x v="835"/>
    <x v="4"/>
    <x v="2"/>
    <x v="0"/>
    <x v="0"/>
    <x v="4"/>
    <x v="2"/>
    <x v="2"/>
    <x v="0"/>
  </r>
  <r>
    <x v="836"/>
    <x v="315"/>
    <x v="0"/>
    <x v="5"/>
    <x v="2"/>
    <x v="836"/>
    <x v="2"/>
    <x v="4"/>
    <x v="0"/>
    <x v="1"/>
    <x v="2"/>
    <x v="0"/>
    <x v="0"/>
    <x v="0"/>
  </r>
  <r>
    <x v="837"/>
    <x v="256"/>
    <x v="1"/>
    <x v="10"/>
    <x v="0"/>
    <x v="837"/>
    <x v="3"/>
    <x v="4"/>
    <x v="0"/>
    <x v="0"/>
    <x v="5"/>
    <x v="3"/>
    <x v="3"/>
    <x v="0"/>
  </r>
  <r>
    <x v="838"/>
    <x v="335"/>
    <x v="0"/>
    <x v="11"/>
    <x v="0"/>
    <x v="838"/>
    <x v="1"/>
    <x v="0"/>
    <x v="0"/>
    <x v="1"/>
    <x v="3"/>
    <x v="5"/>
    <x v="3"/>
    <x v="0"/>
  </r>
  <r>
    <x v="839"/>
    <x v="336"/>
    <x v="1"/>
    <x v="10"/>
    <x v="0"/>
    <x v="839"/>
    <x v="0"/>
    <x v="5"/>
    <x v="2"/>
    <x v="0"/>
    <x v="4"/>
    <x v="2"/>
    <x v="2"/>
    <x v="0"/>
  </r>
  <r>
    <x v="840"/>
    <x v="336"/>
    <x v="1"/>
    <x v="10"/>
    <x v="0"/>
    <x v="840"/>
    <x v="1"/>
    <x v="1"/>
    <x v="2"/>
    <x v="0"/>
    <x v="5"/>
    <x v="1"/>
    <x v="1"/>
    <x v="0"/>
  </r>
  <r>
    <x v="841"/>
    <x v="101"/>
    <x v="0"/>
    <x v="9"/>
    <x v="2"/>
    <x v="841"/>
    <x v="0"/>
    <x v="4"/>
    <x v="0"/>
    <x v="0"/>
    <x v="0"/>
    <x v="2"/>
    <x v="2"/>
    <x v="0"/>
  </r>
  <r>
    <x v="842"/>
    <x v="33"/>
    <x v="1"/>
    <x v="8"/>
    <x v="1"/>
    <x v="842"/>
    <x v="1"/>
    <x v="1"/>
    <x v="2"/>
    <x v="0"/>
    <x v="0"/>
    <x v="0"/>
    <x v="0"/>
    <x v="0"/>
  </r>
  <r>
    <x v="843"/>
    <x v="77"/>
    <x v="1"/>
    <x v="2"/>
    <x v="2"/>
    <x v="843"/>
    <x v="1"/>
    <x v="4"/>
    <x v="0"/>
    <x v="1"/>
    <x v="4"/>
    <x v="0"/>
    <x v="0"/>
    <x v="0"/>
  </r>
  <r>
    <x v="844"/>
    <x v="201"/>
    <x v="1"/>
    <x v="5"/>
    <x v="0"/>
    <x v="844"/>
    <x v="4"/>
    <x v="4"/>
    <x v="3"/>
    <x v="1"/>
    <x v="5"/>
    <x v="3"/>
    <x v="3"/>
    <x v="0"/>
  </r>
  <r>
    <x v="845"/>
    <x v="303"/>
    <x v="1"/>
    <x v="5"/>
    <x v="0"/>
    <x v="845"/>
    <x v="4"/>
    <x v="0"/>
    <x v="2"/>
    <x v="0"/>
    <x v="1"/>
    <x v="0"/>
    <x v="0"/>
    <x v="0"/>
  </r>
  <r>
    <x v="846"/>
    <x v="162"/>
    <x v="1"/>
    <x v="6"/>
    <x v="0"/>
    <x v="846"/>
    <x v="3"/>
    <x v="3"/>
    <x v="3"/>
    <x v="0"/>
    <x v="1"/>
    <x v="5"/>
    <x v="3"/>
    <x v="0"/>
  </r>
  <r>
    <x v="847"/>
    <x v="16"/>
    <x v="0"/>
    <x v="9"/>
    <x v="2"/>
    <x v="847"/>
    <x v="2"/>
    <x v="5"/>
    <x v="4"/>
    <x v="1"/>
    <x v="4"/>
    <x v="4"/>
    <x v="3"/>
    <x v="0"/>
  </r>
  <r>
    <x v="848"/>
    <x v="337"/>
    <x v="0"/>
    <x v="5"/>
    <x v="0"/>
    <x v="848"/>
    <x v="2"/>
    <x v="2"/>
    <x v="4"/>
    <x v="0"/>
    <x v="3"/>
    <x v="3"/>
    <x v="3"/>
    <x v="0"/>
  </r>
  <r>
    <x v="849"/>
    <x v="155"/>
    <x v="1"/>
    <x v="2"/>
    <x v="0"/>
    <x v="849"/>
    <x v="3"/>
    <x v="2"/>
    <x v="0"/>
    <x v="1"/>
    <x v="0"/>
    <x v="2"/>
    <x v="2"/>
    <x v="0"/>
  </r>
  <r>
    <x v="850"/>
    <x v="197"/>
    <x v="0"/>
    <x v="7"/>
    <x v="2"/>
    <x v="850"/>
    <x v="4"/>
    <x v="6"/>
    <x v="1"/>
    <x v="0"/>
    <x v="2"/>
    <x v="5"/>
    <x v="3"/>
    <x v="0"/>
  </r>
  <r>
    <x v="851"/>
    <x v="317"/>
    <x v="1"/>
    <x v="9"/>
    <x v="2"/>
    <x v="851"/>
    <x v="4"/>
    <x v="2"/>
    <x v="2"/>
    <x v="0"/>
    <x v="5"/>
    <x v="2"/>
    <x v="2"/>
    <x v="0"/>
  </r>
  <r>
    <x v="852"/>
    <x v="305"/>
    <x v="1"/>
    <x v="4"/>
    <x v="2"/>
    <x v="852"/>
    <x v="0"/>
    <x v="4"/>
    <x v="3"/>
    <x v="0"/>
    <x v="5"/>
    <x v="2"/>
    <x v="2"/>
    <x v="0"/>
  </r>
  <r>
    <x v="853"/>
    <x v="92"/>
    <x v="1"/>
    <x v="1"/>
    <x v="2"/>
    <x v="853"/>
    <x v="1"/>
    <x v="5"/>
    <x v="2"/>
    <x v="1"/>
    <x v="5"/>
    <x v="2"/>
    <x v="2"/>
    <x v="0"/>
  </r>
  <r>
    <x v="854"/>
    <x v="125"/>
    <x v="1"/>
    <x v="5"/>
    <x v="0"/>
    <x v="854"/>
    <x v="3"/>
    <x v="0"/>
    <x v="2"/>
    <x v="1"/>
    <x v="0"/>
    <x v="0"/>
    <x v="0"/>
    <x v="0"/>
  </r>
  <r>
    <x v="855"/>
    <x v="99"/>
    <x v="1"/>
    <x v="10"/>
    <x v="2"/>
    <x v="855"/>
    <x v="4"/>
    <x v="1"/>
    <x v="2"/>
    <x v="1"/>
    <x v="2"/>
    <x v="0"/>
    <x v="0"/>
    <x v="0"/>
  </r>
  <r>
    <x v="856"/>
    <x v="298"/>
    <x v="0"/>
    <x v="1"/>
    <x v="1"/>
    <x v="856"/>
    <x v="4"/>
    <x v="0"/>
    <x v="0"/>
    <x v="1"/>
    <x v="1"/>
    <x v="5"/>
    <x v="3"/>
    <x v="0"/>
  </r>
  <r>
    <x v="857"/>
    <x v="338"/>
    <x v="0"/>
    <x v="3"/>
    <x v="2"/>
    <x v="857"/>
    <x v="1"/>
    <x v="0"/>
    <x v="4"/>
    <x v="1"/>
    <x v="4"/>
    <x v="2"/>
    <x v="2"/>
    <x v="0"/>
  </r>
  <r>
    <x v="858"/>
    <x v="298"/>
    <x v="0"/>
    <x v="1"/>
    <x v="1"/>
    <x v="858"/>
    <x v="3"/>
    <x v="5"/>
    <x v="0"/>
    <x v="0"/>
    <x v="5"/>
    <x v="4"/>
    <x v="3"/>
    <x v="0"/>
  </r>
  <r>
    <x v="859"/>
    <x v="339"/>
    <x v="1"/>
    <x v="0"/>
    <x v="0"/>
    <x v="859"/>
    <x v="2"/>
    <x v="4"/>
    <x v="0"/>
    <x v="1"/>
    <x v="4"/>
    <x v="0"/>
    <x v="0"/>
    <x v="0"/>
  </r>
  <r>
    <x v="860"/>
    <x v="223"/>
    <x v="1"/>
    <x v="7"/>
    <x v="2"/>
    <x v="860"/>
    <x v="4"/>
    <x v="5"/>
    <x v="1"/>
    <x v="0"/>
    <x v="1"/>
    <x v="2"/>
    <x v="2"/>
    <x v="0"/>
  </r>
  <r>
    <x v="861"/>
    <x v="112"/>
    <x v="1"/>
    <x v="0"/>
    <x v="0"/>
    <x v="861"/>
    <x v="3"/>
    <x v="1"/>
    <x v="3"/>
    <x v="0"/>
    <x v="0"/>
    <x v="2"/>
    <x v="2"/>
    <x v="0"/>
  </r>
  <r>
    <x v="862"/>
    <x v="70"/>
    <x v="1"/>
    <x v="8"/>
    <x v="0"/>
    <x v="862"/>
    <x v="3"/>
    <x v="3"/>
    <x v="3"/>
    <x v="0"/>
    <x v="2"/>
    <x v="3"/>
    <x v="3"/>
    <x v="0"/>
  </r>
  <r>
    <x v="863"/>
    <x v="51"/>
    <x v="0"/>
    <x v="6"/>
    <x v="1"/>
    <x v="863"/>
    <x v="4"/>
    <x v="1"/>
    <x v="4"/>
    <x v="0"/>
    <x v="4"/>
    <x v="2"/>
    <x v="2"/>
    <x v="0"/>
  </r>
  <r>
    <x v="864"/>
    <x v="232"/>
    <x v="1"/>
    <x v="10"/>
    <x v="2"/>
    <x v="864"/>
    <x v="2"/>
    <x v="2"/>
    <x v="1"/>
    <x v="0"/>
    <x v="0"/>
    <x v="3"/>
    <x v="3"/>
    <x v="0"/>
  </r>
  <r>
    <x v="865"/>
    <x v="213"/>
    <x v="1"/>
    <x v="0"/>
    <x v="2"/>
    <x v="865"/>
    <x v="0"/>
    <x v="0"/>
    <x v="1"/>
    <x v="0"/>
    <x v="4"/>
    <x v="3"/>
    <x v="3"/>
    <x v="0"/>
  </r>
  <r>
    <x v="866"/>
    <x v="155"/>
    <x v="1"/>
    <x v="2"/>
    <x v="0"/>
    <x v="866"/>
    <x v="2"/>
    <x v="4"/>
    <x v="4"/>
    <x v="0"/>
    <x v="0"/>
    <x v="4"/>
    <x v="3"/>
    <x v="0"/>
  </r>
  <r>
    <x v="867"/>
    <x v="227"/>
    <x v="1"/>
    <x v="0"/>
    <x v="2"/>
    <x v="867"/>
    <x v="0"/>
    <x v="4"/>
    <x v="2"/>
    <x v="0"/>
    <x v="1"/>
    <x v="0"/>
    <x v="0"/>
    <x v="0"/>
  </r>
  <r>
    <x v="868"/>
    <x v="127"/>
    <x v="0"/>
    <x v="1"/>
    <x v="1"/>
    <x v="868"/>
    <x v="2"/>
    <x v="1"/>
    <x v="2"/>
    <x v="1"/>
    <x v="5"/>
    <x v="0"/>
    <x v="0"/>
    <x v="0"/>
  </r>
  <r>
    <x v="869"/>
    <x v="327"/>
    <x v="0"/>
    <x v="7"/>
    <x v="2"/>
    <x v="869"/>
    <x v="4"/>
    <x v="3"/>
    <x v="1"/>
    <x v="0"/>
    <x v="1"/>
    <x v="3"/>
    <x v="3"/>
    <x v="0"/>
  </r>
  <r>
    <x v="870"/>
    <x v="313"/>
    <x v="1"/>
    <x v="2"/>
    <x v="2"/>
    <x v="870"/>
    <x v="1"/>
    <x v="1"/>
    <x v="2"/>
    <x v="1"/>
    <x v="3"/>
    <x v="1"/>
    <x v="1"/>
    <x v="0"/>
  </r>
  <r>
    <x v="871"/>
    <x v="11"/>
    <x v="1"/>
    <x v="8"/>
    <x v="2"/>
    <x v="871"/>
    <x v="2"/>
    <x v="4"/>
    <x v="0"/>
    <x v="0"/>
    <x v="3"/>
    <x v="1"/>
    <x v="1"/>
    <x v="0"/>
  </r>
  <r>
    <x v="872"/>
    <x v="102"/>
    <x v="0"/>
    <x v="0"/>
    <x v="2"/>
    <x v="872"/>
    <x v="0"/>
    <x v="0"/>
    <x v="0"/>
    <x v="0"/>
    <x v="2"/>
    <x v="0"/>
    <x v="0"/>
    <x v="0"/>
  </r>
  <r>
    <x v="873"/>
    <x v="167"/>
    <x v="1"/>
    <x v="0"/>
    <x v="2"/>
    <x v="873"/>
    <x v="0"/>
    <x v="1"/>
    <x v="0"/>
    <x v="0"/>
    <x v="0"/>
    <x v="3"/>
    <x v="3"/>
    <x v="0"/>
  </r>
  <r>
    <x v="874"/>
    <x v="37"/>
    <x v="1"/>
    <x v="8"/>
    <x v="1"/>
    <x v="874"/>
    <x v="4"/>
    <x v="6"/>
    <x v="3"/>
    <x v="0"/>
    <x v="5"/>
    <x v="4"/>
    <x v="3"/>
    <x v="0"/>
  </r>
  <r>
    <x v="875"/>
    <x v="224"/>
    <x v="1"/>
    <x v="8"/>
    <x v="1"/>
    <x v="875"/>
    <x v="3"/>
    <x v="6"/>
    <x v="0"/>
    <x v="1"/>
    <x v="5"/>
    <x v="0"/>
    <x v="0"/>
    <x v="0"/>
  </r>
  <r>
    <x v="876"/>
    <x v="215"/>
    <x v="1"/>
    <x v="10"/>
    <x v="0"/>
    <x v="876"/>
    <x v="2"/>
    <x v="3"/>
    <x v="3"/>
    <x v="1"/>
    <x v="5"/>
    <x v="0"/>
    <x v="0"/>
    <x v="0"/>
  </r>
  <r>
    <x v="877"/>
    <x v="301"/>
    <x v="1"/>
    <x v="0"/>
    <x v="2"/>
    <x v="877"/>
    <x v="4"/>
    <x v="0"/>
    <x v="0"/>
    <x v="0"/>
    <x v="3"/>
    <x v="4"/>
    <x v="3"/>
    <x v="0"/>
  </r>
  <r>
    <x v="878"/>
    <x v="66"/>
    <x v="1"/>
    <x v="0"/>
    <x v="2"/>
    <x v="878"/>
    <x v="1"/>
    <x v="6"/>
    <x v="4"/>
    <x v="0"/>
    <x v="4"/>
    <x v="0"/>
    <x v="0"/>
    <x v="0"/>
  </r>
  <r>
    <x v="879"/>
    <x v="340"/>
    <x v="1"/>
    <x v="7"/>
    <x v="0"/>
    <x v="879"/>
    <x v="1"/>
    <x v="6"/>
    <x v="1"/>
    <x v="0"/>
    <x v="0"/>
    <x v="5"/>
    <x v="3"/>
    <x v="0"/>
  </r>
  <r>
    <x v="880"/>
    <x v="31"/>
    <x v="1"/>
    <x v="5"/>
    <x v="0"/>
    <x v="880"/>
    <x v="3"/>
    <x v="5"/>
    <x v="3"/>
    <x v="1"/>
    <x v="2"/>
    <x v="4"/>
    <x v="3"/>
    <x v="0"/>
  </r>
  <r>
    <x v="881"/>
    <x v="270"/>
    <x v="1"/>
    <x v="5"/>
    <x v="1"/>
    <x v="881"/>
    <x v="3"/>
    <x v="2"/>
    <x v="3"/>
    <x v="1"/>
    <x v="4"/>
    <x v="1"/>
    <x v="1"/>
    <x v="0"/>
  </r>
  <r>
    <x v="882"/>
    <x v="239"/>
    <x v="0"/>
    <x v="8"/>
    <x v="0"/>
    <x v="882"/>
    <x v="3"/>
    <x v="3"/>
    <x v="4"/>
    <x v="0"/>
    <x v="3"/>
    <x v="4"/>
    <x v="3"/>
    <x v="0"/>
  </r>
  <r>
    <x v="883"/>
    <x v="37"/>
    <x v="1"/>
    <x v="8"/>
    <x v="1"/>
    <x v="883"/>
    <x v="4"/>
    <x v="2"/>
    <x v="0"/>
    <x v="1"/>
    <x v="1"/>
    <x v="2"/>
    <x v="2"/>
    <x v="0"/>
  </r>
  <r>
    <x v="884"/>
    <x v="120"/>
    <x v="1"/>
    <x v="7"/>
    <x v="0"/>
    <x v="884"/>
    <x v="2"/>
    <x v="1"/>
    <x v="1"/>
    <x v="0"/>
    <x v="2"/>
    <x v="5"/>
    <x v="3"/>
    <x v="0"/>
  </r>
  <r>
    <x v="885"/>
    <x v="26"/>
    <x v="1"/>
    <x v="0"/>
    <x v="0"/>
    <x v="885"/>
    <x v="3"/>
    <x v="0"/>
    <x v="2"/>
    <x v="1"/>
    <x v="3"/>
    <x v="1"/>
    <x v="1"/>
    <x v="0"/>
  </r>
  <r>
    <x v="886"/>
    <x v="167"/>
    <x v="1"/>
    <x v="0"/>
    <x v="2"/>
    <x v="886"/>
    <x v="0"/>
    <x v="4"/>
    <x v="3"/>
    <x v="0"/>
    <x v="4"/>
    <x v="5"/>
    <x v="3"/>
    <x v="0"/>
  </r>
  <r>
    <x v="887"/>
    <x v="238"/>
    <x v="0"/>
    <x v="4"/>
    <x v="2"/>
    <x v="887"/>
    <x v="2"/>
    <x v="2"/>
    <x v="1"/>
    <x v="0"/>
    <x v="4"/>
    <x v="3"/>
    <x v="3"/>
    <x v="0"/>
  </r>
  <r>
    <x v="888"/>
    <x v="49"/>
    <x v="1"/>
    <x v="5"/>
    <x v="0"/>
    <x v="888"/>
    <x v="0"/>
    <x v="1"/>
    <x v="1"/>
    <x v="0"/>
    <x v="0"/>
    <x v="0"/>
    <x v="0"/>
    <x v="0"/>
  </r>
  <r>
    <x v="889"/>
    <x v="102"/>
    <x v="0"/>
    <x v="0"/>
    <x v="2"/>
    <x v="889"/>
    <x v="3"/>
    <x v="4"/>
    <x v="4"/>
    <x v="1"/>
    <x v="0"/>
    <x v="0"/>
    <x v="0"/>
    <x v="0"/>
  </r>
  <r>
    <x v="890"/>
    <x v="294"/>
    <x v="2"/>
    <x v="0"/>
    <x v="2"/>
    <x v="890"/>
    <x v="3"/>
    <x v="0"/>
    <x v="2"/>
    <x v="0"/>
    <x v="5"/>
    <x v="4"/>
    <x v="3"/>
    <x v="0"/>
  </r>
  <r>
    <x v="891"/>
    <x v="261"/>
    <x v="1"/>
    <x v="4"/>
    <x v="2"/>
    <x v="891"/>
    <x v="2"/>
    <x v="0"/>
    <x v="4"/>
    <x v="0"/>
    <x v="5"/>
    <x v="1"/>
    <x v="1"/>
    <x v="0"/>
  </r>
  <r>
    <x v="892"/>
    <x v="92"/>
    <x v="1"/>
    <x v="1"/>
    <x v="2"/>
    <x v="892"/>
    <x v="3"/>
    <x v="1"/>
    <x v="4"/>
    <x v="1"/>
    <x v="5"/>
    <x v="2"/>
    <x v="2"/>
    <x v="0"/>
  </r>
  <r>
    <x v="893"/>
    <x v="148"/>
    <x v="1"/>
    <x v="5"/>
    <x v="0"/>
    <x v="893"/>
    <x v="2"/>
    <x v="2"/>
    <x v="3"/>
    <x v="0"/>
    <x v="1"/>
    <x v="0"/>
    <x v="0"/>
    <x v="0"/>
  </r>
  <r>
    <x v="894"/>
    <x v="212"/>
    <x v="1"/>
    <x v="5"/>
    <x v="1"/>
    <x v="894"/>
    <x v="4"/>
    <x v="6"/>
    <x v="4"/>
    <x v="0"/>
    <x v="0"/>
    <x v="5"/>
    <x v="3"/>
    <x v="0"/>
  </r>
  <r>
    <x v="895"/>
    <x v="83"/>
    <x v="1"/>
    <x v="8"/>
    <x v="1"/>
    <x v="895"/>
    <x v="0"/>
    <x v="1"/>
    <x v="1"/>
    <x v="0"/>
    <x v="2"/>
    <x v="0"/>
    <x v="0"/>
    <x v="0"/>
  </r>
  <r>
    <x v="896"/>
    <x v="259"/>
    <x v="1"/>
    <x v="4"/>
    <x v="0"/>
    <x v="896"/>
    <x v="2"/>
    <x v="5"/>
    <x v="2"/>
    <x v="0"/>
    <x v="2"/>
    <x v="2"/>
    <x v="2"/>
    <x v="0"/>
  </r>
  <r>
    <x v="897"/>
    <x v="150"/>
    <x v="1"/>
    <x v="5"/>
    <x v="1"/>
    <x v="897"/>
    <x v="4"/>
    <x v="4"/>
    <x v="2"/>
    <x v="1"/>
    <x v="0"/>
    <x v="5"/>
    <x v="3"/>
    <x v="0"/>
  </r>
  <r>
    <x v="898"/>
    <x v="230"/>
    <x v="1"/>
    <x v="7"/>
    <x v="2"/>
    <x v="898"/>
    <x v="2"/>
    <x v="4"/>
    <x v="3"/>
    <x v="0"/>
    <x v="3"/>
    <x v="5"/>
    <x v="3"/>
    <x v="0"/>
  </r>
  <r>
    <x v="899"/>
    <x v="213"/>
    <x v="1"/>
    <x v="0"/>
    <x v="2"/>
    <x v="899"/>
    <x v="1"/>
    <x v="0"/>
    <x v="2"/>
    <x v="1"/>
    <x v="0"/>
    <x v="4"/>
    <x v="3"/>
    <x v="0"/>
  </r>
  <r>
    <x v="900"/>
    <x v="334"/>
    <x v="1"/>
    <x v="0"/>
    <x v="0"/>
    <x v="900"/>
    <x v="4"/>
    <x v="2"/>
    <x v="1"/>
    <x v="1"/>
    <x v="1"/>
    <x v="1"/>
    <x v="1"/>
    <x v="0"/>
  </r>
  <r>
    <x v="901"/>
    <x v="156"/>
    <x v="1"/>
    <x v="3"/>
    <x v="2"/>
    <x v="901"/>
    <x v="0"/>
    <x v="5"/>
    <x v="3"/>
    <x v="0"/>
    <x v="5"/>
    <x v="3"/>
    <x v="3"/>
    <x v="0"/>
  </r>
  <r>
    <x v="902"/>
    <x v="160"/>
    <x v="1"/>
    <x v="8"/>
    <x v="2"/>
    <x v="902"/>
    <x v="4"/>
    <x v="1"/>
    <x v="3"/>
    <x v="0"/>
    <x v="1"/>
    <x v="0"/>
    <x v="0"/>
    <x v="0"/>
  </r>
  <r>
    <x v="903"/>
    <x v="41"/>
    <x v="1"/>
    <x v="8"/>
    <x v="2"/>
    <x v="903"/>
    <x v="1"/>
    <x v="2"/>
    <x v="3"/>
    <x v="1"/>
    <x v="0"/>
    <x v="1"/>
    <x v="1"/>
    <x v="0"/>
  </r>
  <r>
    <x v="904"/>
    <x v="263"/>
    <x v="1"/>
    <x v="8"/>
    <x v="2"/>
    <x v="904"/>
    <x v="0"/>
    <x v="4"/>
    <x v="4"/>
    <x v="0"/>
    <x v="2"/>
    <x v="1"/>
    <x v="1"/>
    <x v="0"/>
  </r>
  <r>
    <x v="905"/>
    <x v="341"/>
    <x v="1"/>
    <x v="5"/>
    <x v="1"/>
    <x v="905"/>
    <x v="0"/>
    <x v="3"/>
    <x v="4"/>
    <x v="0"/>
    <x v="5"/>
    <x v="0"/>
    <x v="0"/>
    <x v="0"/>
  </r>
  <r>
    <x v="906"/>
    <x v="4"/>
    <x v="1"/>
    <x v="3"/>
    <x v="0"/>
    <x v="906"/>
    <x v="3"/>
    <x v="6"/>
    <x v="0"/>
    <x v="0"/>
    <x v="1"/>
    <x v="0"/>
    <x v="0"/>
    <x v="0"/>
  </r>
  <r>
    <x v="907"/>
    <x v="51"/>
    <x v="0"/>
    <x v="6"/>
    <x v="1"/>
    <x v="907"/>
    <x v="1"/>
    <x v="3"/>
    <x v="1"/>
    <x v="1"/>
    <x v="1"/>
    <x v="0"/>
    <x v="0"/>
    <x v="0"/>
  </r>
  <r>
    <x v="908"/>
    <x v="314"/>
    <x v="0"/>
    <x v="2"/>
    <x v="2"/>
    <x v="908"/>
    <x v="2"/>
    <x v="5"/>
    <x v="3"/>
    <x v="1"/>
    <x v="5"/>
    <x v="0"/>
    <x v="0"/>
    <x v="0"/>
  </r>
  <r>
    <x v="909"/>
    <x v="286"/>
    <x v="1"/>
    <x v="5"/>
    <x v="0"/>
    <x v="909"/>
    <x v="1"/>
    <x v="5"/>
    <x v="3"/>
    <x v="1"/>
    <x v="3"/>
    <x v="1"/>
    <x v="1"/>
    <x v="0"/>
  </r>
  <r>
    <x v="910"/>
    <x v="115"/>
    <x v="1"/>
    <x v="8"/>
    <x v="0"/>
    <x v="910"/>
    <x v="2"/>
    <x v="0"/>
    <x v="2"/>
    <x v="1"/>
    <x v="4"/>
    <x v="2"/>
    <x v="2"/>
    <x v="0"/>
  </r>
  <r>
    <x v="911"/>
    <x v="194"/>
    <x v="0"/>
    <x v="5"/>
    <x v="0"/>
    <x v="911"/>
    <x v="4"/>
    <x v="4"/>
    <x v="3"/>
    <x v="0"/>
    <x v="3"/>
    <x v="0"/>
    <x v="0"/>
    <x v="0"/>
  </r>
  <r>
    <x v="912"/>
    <x v="187"/>
    <x v="1"/>
    <x v="8"/>
    <x v="0"/>
    <x v="912"/>
    <x v="3"/>
    <x v="4"/>
    <x v="3"/>
    <x v="1"/>
    <x v="3"/>
    <x v="0"/>
    <x v="0"/>
    <x v="0"/>
  </r>
  <r>
    <x v="913"/>
    <x v="204"/>
    <x v="0"/>
    <x v="8"/>
    <x v="2"/>
    <x v="913"/>
    <x v="3"/>
    <x v="1"/>
    <x v="2"/>
    <x v="1"/>
    <x v="5"/>
    <x v="3"/>
    <x v="3"/>
    <x v="0"/>
  </r>
  <r>
    <x v="914"/>
    <x v="321"/>
    <x v="1"/>
    <x v="5"/>
    <x v="2"/>
    <x v="914"/>
    <x v="1"/>
    <x v="6"/>
    <x v="1"/>
    <x v="1"/>
    <x v="5"/>
    <x v="4"/>
    <x v="3"/>
    <x v="0"/>
  </r>
  <r>
    <x v="915"/>
    <x v="322"/>
    <x v="1"/>
    <x v="3"/>
    <x v="2"/>
    <x v="915"/>
    <x v="4"/>
    <x v="0"/>
    <x v="2"/>
    <x v="1"/>
    <x v="5"/>
    <x v="2"/>
    <x v="2"/>
    <x v="0"/>
  </r>
  <r>
    <x v="916"/>
    <x v="132"/>
    <x v="0"/>
    <x v="8"/>
    <x v="2"/>
    <x v="916"/>
    <x v="0"/>
    <x v="6"/>
    <x v="4"/>
    <x v="0"/>
    <x v="1"/>
    <x v="4"/>
    <x v="3"/>
    <x v="0"/>
  </r>
  <r>
    <x v="917"/>
    <x v="168"/>
    <x v="1"/>
    <x v="6"/>
    <x v="0"/>
    <x v="917"/>
    <x v="0"/>
    <x v="3"/>
    <x v="4"/>
    <x v="0"/>
    <x v="0"/>
    <x v="5"/>
    <x v="3"/>
    <x v="0"/>
  </r>
  <r>
    <x v="918"/>
    <x v="300"/>
    <x v="0"/>
    <x v="5"/>
    <x v="0"/>
    <x v="918"/>
    <x v="4"/>
    <x v="2"/>
    <x v="2"/>
    <x v="1"/>
    <x v="1"/>
    <x v="2"/>
    <x v="2"/>
    <x v="0"/>
  </r>
  <r>
    <x v="919"/>
    <x v="213"/>
    <x v="1"/>
    <x v="0"/>
    <x v="2"/>
    <x v="919"/>
    <x v="3"/>
    <x v="0"/>
    <x v="0"/>
    <x v="1"/>
    <x v="5"/>
    <x v="3"/>
    <x v="3"/>
    <x v="0"/>
  </r>
  <r>
    <x v="920"/>
    <x v="138"/>
    <x v="2"/>
    <x v="4"/>
    <x v="2"/>
    <x v="920"/>
    <x v="2"/>
    <x v="3"/>
    <x v="3"/>
    <x v="1"/>
    <x v="2"/>
    <x v="1"/>
    <x v="1"/>
    <x v="0"/>
  </r>
  <r>
    <x v="921"/>
    <x v="159"/>
    <x v="1"/>
    <x v="1"/>
    <x v="1"/>
    <x v="921"/>
    <x v="0"/>
    <x v="0"/>
    <x v="3"/>
    <x v="0"/>
    <x v="5"/>
    <x v="3"/>
    <x v="3"/>
    <x v="0"/>
  </r>
  <r>
    <x v="922"/>
    <x v="320"/>
    <x v="1"/>
    <x v="10"/>
    <x v="2"/>
    <x v="922"/>
    <x v="4"/>
    <x v="4"/>
    <x v="2"/>
    <x v="0"/>
    <x v="4"/>
    <x v="0"/>
    <x v="0"/>
    <x v="0"/>
  </r>
  <r>
    <x v="923"/>
    <x v="242"/>
    <x v="1"/>
    <x v="0"/>
    <x v="0"/>
    <x v="923"/>
    <x v="4"/>
    <x v="4"/>
    <x v="0"/>
    <x v="0"/>
    <x v="1"/>
    <x v="4"/>
    <x v="3"/>
    <x v="0"/>
  </r>
  <r>
    <x v="924"/>
    <x v="316"/>
    <x v="1"/>
    <x v="1"/>
    <x v="1"/>
    <x v="924"/>
    <x v="2"/>
    <x v="6"/>
    <x v="4"/>
    <x v="0"/>
    <x v="5"/>
    <x v="5"/>
    <x v="3"/>
    <x v="0"/>
  </r>
  <r>
    <x v="925"/>
    <x v="208"/>
    <x v="1"/>
    <x v="3"/>
    <x v="0"/>
    <x v="925"/>
    <x v="0"/>
    <x v="4"/>
    <x v="0"/>
    <x v="0"/>
    <x v="1"/>
    <x v="5"/>
    <x v="3"/>
    <x v="0"/>
  </r>
  <r>
    <x v="926"/>
    <x v="342"/>
    <x v="0"/>
    <x v="2"/>
    <x v="2"/>
    <x v="926"/>
    <x v="4"/>
    <x v="3"/>
    <x v="1"/>
    <x v="0"/>
    <x v="4"/>
    <x v="4"/>
    <x v="3"/>
    <x v="0"/>
  </r>
  <r>
    <x v="927"/>
    <x v="244"/>
    <x v="0"/>
    <x v="11"/>
    <x v="0"/>
    <x v="927"/>
    <x v="0"/>
    <x v="4"/>
    <x v="4"/>
    <x v="0"/>
    <x v="5"/>
    <x v="2"/>
    <x v="2"/>
    <x v="0"/>
  </r>
  <r>
    <x v="928"/>
    <x v="343"/>
    <x v="1"/>
    <x v="7"/>
    <x v="0"/>
    <x v="928"/>
    <x v="3"/>
    <x v="2"/>
    <x v="1"/>
    <x v="0"/>
    <x v="1"/>
    <x v="1"/>
    <x v="1"/>
    <x v="0"/>
  </r>
  <r>
    <x v="929"/>
    <x v="2"/>
    <x v="0"/>
    <x v="2"/>
    <x v="1"/>
    <x v="929"/>
    <x v="2"/>
    <x v="3"/>
    <x v="2"/>
    <x v="1"/>
    <x v="2"/>
    <x v="4"/>
    <x v="3"/>
    <x v="0"/>
  </r>
  <r>
    <x v="930"/>
    <x v="344"/>
    <x v="0"/>
    <x v="1"/>
    <x v="2"/>
    <x v="930"/>
    <x v="4"/>
    <x v="3"/>
    <x v="3"/>
    <x v="1"/>
    <x v="3"/>
    <x v="3"/>
    <x v="3"/>
    <x v="0"/>
  </r>
  <r>
    <x v="931"/>
    <x v="158"/>
    <x v="1"/>
    <x v="8"/>
    <x v="0"/>
    <x v="931"/>
    <x v="2"/>
    <x v="0"/>
    <x v="0"/>
    <x v="0"/>
    <x v="5"/>
    <x v="0"/>
    <x v="0"/>
    <x v="0"/>
  </r>
  <r>
    <x v="932"/>
    <x v="141"/>
    <x v="0"/>
    <x v="7"/>
    <x v="2"/>
    <x v="932"/>
    <x v="0"/>
    <x v="3"/>
    <x v="1"/>
    <x v="0"/>
    <x v="4"/>
    <x v="5"/>
    <x v="3"/>
    <x v="0"/>
  </r>
  <r>
    <x v="933"/>
    <x v="133"/>
    <x v="0"/>
    <x v="5"/>
    <x v="1"/>
    <x v="933"/>
    <x v="3"/>
    <x v="3"/>
    <x v="3"/>
    <x v="1"/>
    <x v="5"/>
    <x v="5"/>
    <x v="3"/>
    <x v="0"/>
  </r>
  <r>
    <x v="934"/>
    <x v="276"/>
    <x v="1"/>
    <x v="7"/>
    <x v="2"/>
    <x v="934"/>
    <x v="4"/>
    <x v="3"/>
    <x v="4"/>
    <x v="0"/>
    <x v="3"/>
    <x v="0"/>
    <x v="0"/>
    <x v="0"/>
  </r>
  <r>
    <x v="935"/>
    <x v="209"/>
    <x v="1"/>
    <x v="10"/>
    <x v="2"/>
    <x v="935"/>
    <x v="3"/>
    <x v="1"/>
    <x v="0"/>
    <x v="1"/>
    <x v="5"/>
    <x v="2"/>
    <x v="2"/>
    <x v="0"/>
  </r>
  <r>
    <x v="936"/>
    <x v="249"/>
    <x v="1"/>
    <x v="3"/>
    <x v="2"/>
    <x v="936"/>
    <x v="0"/>
    <x v="4"/>
    <x v="3"/>
    <x v="0"/>
    <x v="5"/>
    <x v="0"/>
    <x v="0"/>
    <x v="0"/>
  </r>
  <r>
    <x v="937"/>
    <x v="242"/>
    <x v="1"/>
    <x v="0"/>
    <x v="0"/>
    <x v="937"/>
    <x v="2"/>
    <x v="3"/>
    <x v="1"/>
    <x v="0"/>
    <x v="0"/>
    <x v="0"/>
    <x v="0"/>
    <x v="0"/>
  </r>
  <r>
    <x v="938"/>
    <x v="225"/>
    <x v="1"/>
    <x v="5"/>
    <x v="1"/>
    <x v="938"/>
    <x v="4"/>
    <x v="2"/>
    <x v="0"/>
    <x v="1"/>
    <x v="2"/>
    <x v="4"/>
    <x v="3"/>
    <x v="0"/>
  </r>
  <r>
    <x v="939"/>
    <x v="145"/>
    <x v="1"/>
    <x v="5"/>
    <x v="2"/>
    <x v="939"/>
    <x v="2"/>
    <x v="3"/>
    <x v="0"/>
    <x v="1"/>
    <x v="3"/>
    <x v="0"/>
    <x v="0"/>
    <x v="0"/>
  </r>
  <r>
    <x v="940"/>
    <x v="239"/>
    <x v="0"/>
    <x v="8"/>
    <x v="0"/>
    <x v="940"/>
    <x v="0"/>
    <x v="0"/>
    <x v="2"/>
    <x v="0"/>
    <x v="5"/>
    <x v="3"/>
    <x v="3"/>
    <x v="0"/>
  </r>
  <r>
    <x v="941"/>
    <x v="64"/>
    <x v="1"/>
    <x v="5"/>
    <x v="0"/>
    <x v="941"/>
    <x v="1"/>
    <x v="1"/>
    <x v="1"/>
    <x v="0"/>
    <x v="5"/>
    <x v="5"/>
    <x v="3"/>
    <x v="0"/>
  </r>
  <r>
    <x v="942"/>
    <x v="163"/>
    <x v="0"/>
    <x v="5"/>
    <x v="0"/>
    <x v="942"/>
    <x v="0"/>
    <x v="3"/>
    <x v="1"/>
    <x v="0"/>
    <x v="3"/>
    <x v="1"/>
    <x v="1"/>
    <x v="0"/>
  </r>
  <r>
    <x v="943"/>
    <x v="92"/>
    <x v="1"/>
    <x v="1"/>
    <x v="2"/>
    <x v="943"/>
    <x v="3"/>
    <x v="5"/>
    <x v="4"/>
    <x v="1"/>
    <x v="5"/>
    <x v="4"/>
    <x v="3"/>
    <x v="0"/>
  </r>
  <r>
    <x v="944"/>
    <x v="107"/>
    <x v="1"/>
    <x v="5"/>
    <x v="2"/>
    <x v="944"/>
    <x v="2"/>
    <x v="0"/>
    <x v="1"/>
    <x v="1"/>
    <x v="1"/>
    <x v="2"/>
    <x v="2"/>
    <x v="0"/>
  </r>
  <r>
    <x v="945"/>
    <x v="116"/>
    <x v="0"/>
    <x v="2"/>
    <x v="0"/>
    <x v="945"/>
    <x v="2"/>
    <x v="3"/>
    <x v="2"/>
    <x v="1"/>
    <x v="1"/>
    <x v="2"/>
    <x v="2"/>
    <x v="0"/>
  </r>
  <r>
    <x v="946"/>
    <x v="192"/>
    <x v="0"/>
    <x v="4"/>
    <x v="1"/>
    <x v="946"/>
    <x v="4"/>
    <x v="2"/>
    <x v="1"/>
    <x v="0"/>
    <x v="3"/>
    <x v="2"/>
    <x v="2"/>
    <x v="0"/>
  </r>
  <r>
    <x v="947"/>
    <x v="223"/>
    <x v="1"/>
    <x v="7"/>
    <x v="2"/>
    <x v="947"/>
    <x v="3"/>
    <x v="2"/>
    <x v="3"/>
    <x v="1"/>
    <x v="0"/>
    <x v="4"/>
    <x v="3"/>
    <x v="0"/>
  </r>
  <r>
    <x v="948"/>
    <x v="27"/>
    <x v="1"/>
    <x v="1"/>
    <x v="0"/>
    <x v="948"/>
    <x v="3"/>
    <x v="3"/>
    <x v="4"/>
    <x v="0"/>
    <x v="3"/>
    <x v="4"/>
    <x v="3"/>
    <x v="0"/>
  </r>
  <r>
    <x v="949"/>
    <x v="195"/>
    <x v="1"/>
    <x v="6"/>
    <x v="2"/>
    <x v="949"/>
    <x v="3"/>
    <x v="1"/>
    <x v="1"/>
    <x v="1"/>
    <x v="5"/>
    <x v="3"/>
    <x v="3"/>
    <x v="0"/>
  </r>
  <r>
    <x v="950"/>
    <x v="14"/>
    <x v="1"/>
    <x v="0"/>
    <x v="0"/>
    <x v="950"/>
    <x v="1"/>
    <x v="2"/>
    <x v="4"/>
    <x v="1"/>
    <x v="1"/>
    <x v="4"/>
    <x v="3"/>
    <x v="0"/>
  </r>
  <r>
    <x v="951"/>
    <x v="162"/>
    <x v="1"/>
    <x v="6"/>
    <x v="0"/>
    <x v="951"/>
    <x v="1"/>
    <x v="2"/>
    <x v="0"/>
    <x v="1"/>
    <x v="1"/>
    <x v="0"/>
    <x v="0"/>
    <x v="0"/>
  </r>
  <r>
    <x v="952"/>
    <x v="340"/>
    <x v="1"/>
    <x v="7"/>
    <x v="0"/>
    <x v="952"/>
    <x v="0"/>
    <x v="1"/>
    <x v="1"/>
    <x v="0"/>
    <x v="5"/>
    <x v="1"/>
    <x v="1"/>
    <x v="0"/>
  </r>
  <r>
    <x v="953"/>
    <x v="7"/>
    <x v="1"/>
    <x v="6"/>
    <x v="2"/>
    <x v="953"/>
    <x v="0"/>
    <x v="1"/>
    <x v="4"/>
    <x v="0"/>
    <x v="2"/>
    <x v="0"/>
    <x v="0"/>
    <x v="0"/>
  </r>
  <r>
    <x v="954"/>
    <x v="345"/>
    <x v="1"/>
    <x v="1"/>
    <x v="1"/>
    <x v="954"/>
    <x v="0"/>
    <x v="3"/>
    <x v="1"/>
    <x v="0"/>
    <x v="2"/>
    <x v="5"/>
    <x v="3"/>
    <x v="0"/>
  </r>
  <r>
    <x v="955"/>
    <x v="119"/>
    <x v="1"/>
    <x v="5"/>
    <x v="2"/>
    <x v="955"/>
    <x v="2"/>
    <x v="5"/>
    <x v="2"/>
    <x v="0"/>
    <x v="2"/>
    <x v="0"/>
    <x v="0"/>
    <x v="0"/>
  </r>
  <r>
    <x v="956"/>
    <x v="44"/>
    <x v="1"/>
    <x v="4"/>
    <x v="0"/>
    <x v="956"/>
    <x v="4"/>
    <x v="3"/>
    <x v="2"/>
    <x v="0"/>
    <x v="4"/>
    <x v="5"/>
    <x v="3"/>
    <x v="0"/>
  </r>
  <r>
    <x v="957"/>
    <x v="187"/>
    <x v="1"/>
    <x v="8"/>
    <x v="0"/>
    <x v="957"/>
    <x v="1"/>
    <x v="2"/>
    <x v="3"/>
    <x v="1"/>
    <x v="5"/>
    <x v="2"/>
    <x v="2"/>
    <x v="0"/>
  </r>
  <r>
    <x v="958"/>
    <x v="153"/>
    <x v="1"/>
    <x v="1"/>
    <x v="1"/>
    <x v="958"/>
    <x v="1"/>
    <x v="1"/>
    <x v="1"/>
    <x v="0"/>
    <x v="2"/>
    <x v="2"/>
    <x v="2"/>
    <x v="0"/>
  </r>
  <r>
    <x v="959"/>
    <x v="299"/>
    <x v="1"/>
    <x v="1"/>
    <x v="1"/>
    <x v="959"/>
    <x v="2"/>
    <x v="0"/>
    <x v="4"/>
    <x v="0"/>
    <x v="3"/>
    <x v="4"/>
    <x v="3"/>
    <x v="0"/>
  </r>
  <r>
    <x v="960"/>
    <x v="133"/>
    <x v="0"/>
    <x v="5"/>
    <x v="1"/>
    <x v="960"/>
    <x v="4"/>
    <x v="6"/>
    <x v="3"/>
    <x v="0"/>
    <x v="1"/>
    <x v="1"/>
    <x v="1"/>
    <x v="0"/>
  </r>
  <r>
    <x v="961"/>
    <x v="157"/>
    <x v="1"/>
    <x v="3"/>
    <x v="2"/>
    <x v="961"/>
    <x v="0"/>
    <x v="4"/>
    <x v="1"/>
    <x v="0"/>
    <x v="2"/>
    <x v="2"/>
    <x v="2"/>
    <x v="0"/>
  </r>
  <r>
    <x v="962"/>
    <x v="36"/>
    <x v="1"/>
    <x v="2"/>
    <x v="0"/>
    <x v="962"/>
    <x v="1"/>
    <x v="6"/>
    <x v="0"/>
    <x v="0"/>
    <x v="3"/>
    <x v="4"/>
    <x v="3"/>
    <x v="0"/>
  </r>
  <r>
    <x v="963"/>
    <x v="126"/>
    <x v="0"/>
    <x v="7"/>
    <x v="2"/>
    <x v="963"/>
    <x v="0"/>
    <x v="2"/>
    <x v="1"/>
    <x v="0"/>
    <x v="2"/>
    <x v="1"/>
    <x v="1"/>
    <x v="0"/>
  </r>
  <r>
    <x v="964"/>
    <x v="210"/>
    <x v="1"/>
    <x v="4"/>
    <x v="2"/>
    <x v="964"/>
    <x v="2"/>
    <x v="6"/>
    <x v="3"/>
    <x v="0"/>
    <x v="2"/>
    <x v="1"/>
    <x v="1"/>
    <x v="0"/>
  </r>
  <r>
    <x v="965"/>
    <x v="320"/>
    <x v="1"/>
    <x v="10"/>
    <x v="2"/>
    <x v="965"/>
    <x v="4"/>
    <x v="4"/>
    <x v="1"/>
    <x v="1"/>
    <x v="4"/>
    <x v="5"/>
    <x v="3"/>
    <x v="0"/>
  </r>
  <r>
    <x v="966"/>
    <x v="108"/>
    <x v="1"/>
    <x v="4"/>
    <x v="2"/>
    <x v="966"/>
    <x v="1"/>
    <x v="0"/>
    <x v="1"/>
    <x v="0"/>
    <x v="3"/>
    <x v="0"/>
    <x v="0"/>
    <x v="0"/>
  </r>
  <r>
    <x v="967"/>
    <x v="302"/>
    <x v="1"/>
    <x v="1"/>
    <x v="2"/>
    <x v="967"/>
    <x v="1"/>
    <x v="1"/>
    <x v="3"/>
    <x v="0"/>
    <x v="1"/>
    <x v="4"/>
    <x v="3"/>
    <x v="0"/>
  </r>
  <r>
    <x v="968"/>
    <x v="346"/>
    <x v="1"/>
    <x v="7"/>
    <x v="2"/>
    <x v="968"/>
    <x v="3"/>
    <x v="2"/>
    <x v="0"/>
    <x v="1"/>
    <x v="4"/>
    <x v="5"/>
    <x v="3"/>
    <x v="0"/>
  </r>
  <r>
    <x v="969"/>
    <x v="0"/>
    <x v="0"/>
    <x v="0"/>
    <x v="0"/>
    <x v="969"/>
    <x v="2"/>
    <x v="0"/>
    <x v="2"/>
    <x v="0"/>
    <x v="3"/>
    <x v="5"/>
    <x v="3"/>
    <x v="0"/>
  </r>
  <r>
    <x v="970"/>
    <x v="336"/>
    <x v="1"/>
    <x v="10"/>
    <x v="0"/>
    <x v="970"/>
    <x v="2"/>
    <x v="2"/>
    <x v="2"/>
    <x v="1"/>
    <x v="2"/>
    <x v="4"/>
    <x v="3"/>
    <x v="0"/>
  </r>
  <r>
    <x v="971"/>
    <x v="300"/>
    <x v="0"/>
    <x v="5"/>
    <x v="0"/>
    <x v="971"/>
    <x v="0"/>
    <x v="2"/>
    <x v="3"/>
    <x v="0"/>
    <x v="3"/>
    <x v="5"/>
    <x v="3"/>
    <x v="0"/>
  </r>
  <r>
    <x v="972"/>
    <x v="269"/>
    <x v="0"/>
    <x v="6"/>
    <x v="0"/>
    <x v="972"/>
    <x v="0"/>
    <x v="1"/>
    <x v="0"/>
    <x v="0"/>
    <x v="3"/>
    <x v="1"/>
    <x v="1"/>
    <x v="0"/>
  </r>
  <r>
    <x v="973"/>
    <x v="225"/>
    <x v="1"/>
    <x v="5"/>
    <x v="1"/>
    <x v="973"/>
    <x v="4"/>
    <x v="6"/>
    <x v="0"/>
    <x v="0"/>
    <x v="0"/>
    <x v="1"/>
    <x v="1"/>
    <x v="0"/>
  </r>
  <r>
    <x v="974"/>
    <x v="159"/>
    <x v="1"/>
    <x v="1"/>
    <x v="1"/>
    <x v="974"/>
    <x v="0"/>
    <x v="1"/>
    <x v="1"/>
    <x v="0"/>
    <x v="2"/>
    <x v="1"/>
    <x v="1"/>
    <x v="0"/>
  </r>
  <r>
    <x v="975"/>
    <x v="298"/>
    <x v="0"/>
    <x v="1"/>
    <x v="1"/>
    <x v="975"/>
    <x v="3"/>
    <x v="5"/>
    <x v="3"/>
    <x v="0"/>
    <x v="2"/>
    <x v="4"/>
    <x v="3"/>
    <x v="0"/>
  </r>
  <r>
    <x v="976"/>
    <x v="52"/>
    <x v="1"/>
    <x v="5"/>
    <x v="2"/>
    <x v="976"/>
    <x v="1"/>
    <x v="6"/>
    <x v="2"/>
    <x v="1"/>
    <x v="5"/>
    <x v="4"/>
    <x v="3"/>
    <x v="0"/>
  </r>
  <r>
    <x v="977"/>
    <x v="347"/>
    <x v="0"/>
    <x v="7"/>
    <x v="2"/>
    <x v="977"/>
    <x v="4"/>
    <x v="5"/>
    <x v="2"/>
    <x v="0"/>
    <x v="4"/>
    <x v="4"/>
    <x v="3"/>
    <x v="0"/>
  </r>
  <r>
    <x v="978"/>
    <x v="348"/>
    <x v="1"/>
    <x v="3"/>
    <x v="0"/>
    <x v="978"/>
    <x v="3"/>
    <x v="5"/>
    <x v="1"/>
    <x v="0"/>
    <x v="4"/>
    <x v="0"/>
    <x v="0"/>
    <x v="0"/>
  </r>
  <r>
    <x v="979"/>
    <x v="269"/>
    <x v="0"/>
    <x v="6"/>
    <x v="0"/>
    <x v="979"/>
    <x v="1"/>
    <x v="4"/>
    <x v="2"/>
    <x v="1"/>
    <x v="0"/>
    <x v="2"/>
    <x v="2"/>
    <x v="0"/>
  </r>
  <r>
    <x v="980"/>
    <x v="144"/>
    <x v="1"/>
    <x v="1"/>
    <x v="0"/>
    <x v="980"/>
    <x v="4"/>
    <x v="1"/>
    <x v="2"/>
    <x v="0"/>
    <x v="2"/>
    <x v="4"/>
    <x v="3"/>
    <x v="0"/>
  </r>
  <r>
    <x v="981"/>
    <x v="127"/>
    <x v="0"/>
    <x v="1"/>
    <x v="1"/>
    <x v="981"/>
    <x v="0"/>
    <x v="1"/>
    <x v="0"/>
    <x v="0"/>
    <x v="2"/>
    <x v="3"/>
    <x v="3"/>
    <x v="0"/>
  </r>
  <r>
    <x v="982"/>
    <x v="316"/>
    <x v="1"/>
    <x v="1"/>
    <x v="1"/>
    <x v="982"/>
    <x v="4"/>
    <x v="5"/>
    <x v="0"/>
    <x v="1"/>
    <x v="2"/>
    <x v="2"/>
    <x v="2"/>
    <x v="0"/>
  </r>
  <r>
    <x v="983"/>
    <x v="199"/>
    <x v="1"/>
    <x v="10"/>
    <x v="2"/>
    <x v="983"/>
    <x v="1"/>
    <x v="2"/>
    <x v="4"/>
    <x v="0"/>
    <x v="5"/>
    <x v="3"/>
    <x v="3"/>
    <x v="0"/>
  </r>
  <r>
    <x v="984"/>
    <x v="145"/>
    <x v="1"/>
    <x v="5"/>
    <x v="2"/>
    <x v="984"/>
    <x v="4"/>
    <x v="2"/>
    <x v="3"/>
    <x v="1"/>
    <x v="2"/>
    <x v="5"/>
    <x v="3"/>
    <x v="0"/>
  </r>
  <r>
    <x v="985"/>
    <x v="91"/>
    <x v="1"/>
    <x v="4"/>
    <x v="2"/>
    <x v="985"/>
    <x v="4"/>
    <x v="2"/>
    <x v="4"/>
    <x v="0"/>
    <x v="0"/>
    <x v="1"/>
    <x v="1"/>
    <x v="0"/>
  </r>
  <r>
    <x v="986"/>
    <x v="349"/>
    <x v="1"/>
    <x v="3"/>
    <x v="0"/>
    <x v="986"/>
    <x v="4"/>
    <x v="5"/>
    <x v="4"/>
    <x v="0"/>
    <x v="2"/>
    <x v="1"/>
    <x v="1"/>
    <x v="0"/>
  </r>
  <r>
    <x v="987"/>
    <x v="156"/>
    <x v="1"/>
    <x v="3"/>
    <x v="2"/>
    <x v="987"/>
    <x v="1"/>
    <x v="1"/>
    <x v="0"/>
    <x v="1"/>
    <x v="5"/>
    <x v="1"/>
    <x v="1"/>
    <x v="0"/>
  </r>
  <r>
    <x v="988"/>
    <x v="307"/>
    <x v="0"/>
    <x v="0"/>
    <x v="0"/>
    <x v="988"/>
    <x v="2"/>
    <x v="3"/>
    <x v="4"/>
    <x v="1"/>
    <x v="0"/>
    <x v="4"/>
    <x v="3"/>
    <x v="0"/>
  </r>
  <r>
    <x v="989"/>
    <x v="206"/>
    <x v="1"/>
    <x v="1"/>
    <x v="0"/>
    <x v="989"/>
    <x v="3"/>
    <x v="5"/>
    <x v="3"/>
    <x v="1"/>
    <x v="4"/>
    <x v="5"/>
    <x v="3"/>
    <x v="0"/>
  </r>
  <r>
    <x v="990"/>
    <x v="88"/>
    <x v="1"/>
    <x v="4"/>
    <x v="2"/>
    <x v="990"/>
    <x v="1"/>
    <x v="6"/>
    <x v="4"/>
    <x v="0"/>
    <x v="0"/>
    <x v="5"/>
    <x v="3"/>
    <x v="0"/>
  </r>
  <r>
    <x v="991"/>
    <x v="195"/>
    <x v="1"/>
    <x v="6"/>
    <x v="2"/>
    <x v="991"/>
    <x v="0"/>
    <x v="0"/>
    <x v="1"/>
    <x v="0"/>
    <x v="1"/>
    <x v="2"/>
    <x v="2"/>
    <x v="0"/>
  </r>
  <r>
    <x v="992"/>
    <x v="196"/>
    <x v="1"/>
    <x v="2"/>
    <x v="2"/>
    <x v="992"/>
    <x v="1"/>
    <x v="4"/>
    <x v="4"/>
    <x v="0"/>
    <x v="0"/>
    <x v="5"/>
    <x v="3"/>
    <x v="0"/>
  </r>
  <r>
    <x v="993"/>
    <x v="288"/>
    <x v="1"/>
    <x v="9"/>
    <x v="2"/>
    <x v="993"/>
    <x v="0"/>
    <x v="5"/>
    <x v="0"/>
    <x v="0"/>
    <x v="2"/>
    <x v="4"/>
    <x v="3"/>
    <x v="0"/>
  </r>
  <r>
    <x v="994"/>
    <x v="76"/>
    <x v="1"/>
    <x v="4"/>
    <x v="2"/>
    <x v="994"/>
    <x v="4"/>
    <x v="6"/>
    <x v="0"/>
    <x v="0"/>
    <x v="5"/>
    <x v="4"/>
    <x v="3"/>
    <x v="0"/>
  </r>
  <r>
    <x v="995"/>
    <x v="152"/>
    <x v="1"/>
    <x v="10"/>
    <x v="2"/>
    <x v="995"/>
    <x v="3"/>
    <x v="2"/>
    <x v="2"/>
    <x v="1"/>
    <x v="0"/>
    <x v="3"/>
    <x v="3"/>
    <x v="0"/>
  </r>
  <r>
    <x v="996"/>
    <x v="59"/>
    <x v="1"/>
    <x v="4"/>
    <x v="0"/>
    <x v="996"/>
    <x v="0"/>
    <x v="5"/>
    <x v="3"/>
    <x v="0"/>
    <x v="5"/>
    <x v="2"/>
    <x v="2"/>
    <x v="0"/>
  </r>
  <r>
    <x v="997"/>
    <x v="38"/>
    <x v="1"/>
    <x v="5"/>
    <x v="2"/>
    <x v="997"/>
    <x v="0"/>
    <x v="2"/>
    <x v="0"/>
    <x v="0"/>
    <x v="3"/>
    <x v="5"/>
    <x v="3"/>
    <x v="0"/>
  </r>
  <r>
    <x v="998"/>
    <x v="89"/>
    <x v="1"/>
    <x v="10"/>
    <x v="0"/>
    <x v="998"/>
    <x v="4"/>
    <x v="1"/>
    <x v="0"/>
    <x v="1"/>
    <x v="0"/>
    <x v="2"/>
    <x v="2"/>
    <x v="0"/>
  </r>
  <r>
    <x v="999"/>
    <x v="348"/>
    <x v="1"/>
    <x v="3"/>
    <x v="0"/>
    <x v="999"/>
    <x v="1"/>
    <x v="1"/>
    <x v="0"/>
    <x v="1"/>
    <x v="0"/>
    <x v="2"/>
    <x v="2"/>
    <x v="0"/>
  </r>
  <r>
    <x v="1000"/>
    <x v="164"/>
    <x v="1"/>
    <x v="2"/>
    <x v="1"/>
    <x v="1000"/>
    <x v="0"/>
    <x v="5"/>
    <x v="2"/>
    <x v="0"/>
    <x v="2"/>
    <x v="3"/>
    <x v="3"/>
    <x v="0"/>
  </r>
  <r>
    <x v="1001"/>
    <x v="272"/>
    <x v="1"/>
    <x v="7"/>
    <x v="0"/>
    <x v="1001"/>
    <x v="2"/>
    <x v="3"/>
    <x v="1"/>
    <x v="1"/>
    <x v="5"/>
    <x v="3"/>
    <x v="3"/>
    <x v="0"/>
  </r>
  <r>
    <x v="1002"/>
    <x v="346"/>
    <x v="1"/>
    <x v="7"/>
    <x v="2"/>
    <x v="1002"/>
    <x v="3"/>
    <x v="6"/>
    <x v="4"/>
    <x v="1"/>
    <x v="4"/>
    <x v="5"/>
    <x v="3"/>
    <x v="0"/>
  </r>
  <r>
    <x v="1003"/>
    <x v="344"/>
    <x v="0"/>
    <x v="1"/>
    <x v="2"/>
    <x v="1003"/>
    <x v="1"/>
    <x v="0"/>
    <x v="4"/>
    <x v="0"/>
    <x v="2"/>
    <x v="3"/>
    <x v="3"/>
    <x v="0"/>
  </r>
  <r>
    <x v="1004"/>
    <x v="322"/>
    <x v="1"/>
    <x v="3"/>
    <x v="2"/>
    <x v="1004"/>
    <x v="3"/>
    <x v="3"/>
    <x v="2"/>
    <x v="1"/>
    <x v="4"/>
    <x v="5"/>
    <x v="3"/>
    <x v="0"/>
  </r>
  <r>
    <x v="1005"/>
    <x v="194"/>
    <x v="0"/>
    <x v="5"/>
    <x v="0"/>
    <x v="1005"/>
    <x v="1"/>
    <x v="3"/>
    <x v="4"/>
    <x v="0"/>
    <x v="4"/>
    <x v="5"/>
    <x v="3"/>
    <x v="0"/>
  </r>
  <r>
    <x v="1006"/>
    <x v="207"/>
    <x v="1"/>
    <x v="4"/>
    <x v="2"/>
    <x v="1006"/>
    <x v="2"/>
    <x v="4"/>
    <x v="0"/>
    <x v="1"/>
    <x v="5"/>
    <x v="3"/>
    <x v="3"/>
    <x v="0"/>
  </r>
  <r>
    <x v="1007"/>
    <x v="229"/>
    <x v="1"/>
    <x v="3"/>
    <x v="0"/>
    <x v="1007"/>
    <x v="1"/>
    <x v="0"/>
    <x v="4"/>
    <x v="0"/>
    <x v="2"/>
    <x v="0"/>
    <x v="0"/>
    <x v="0"/>
  </r>
  <r>
    <x v="1008"/>
    <x v="75"/>
    <x v="0"/>
    <x v="8"/>
    <x v="2"/>
    <x v="1008"/>
    <x v="4"/>
    <x v="2"/>
    <x v="0"/>
    <x v="0"/>
    <x v="0"/>
    <x v="4"/>
    <x v="3"/>
    <x v="0"/>
  </r>
  <r>
    <x v="1009"/>
    <x v="231"/>
    <x v="1"/>
    <x v="5"/>
    <x v="2"/>
    <x v="1009"/>
    <x v="3"/>
    <x v="6"/>
    <x v="3"/>
    <x v="0"/>
    <x v="1"/>
    <x v="0"/>
    <x v="0"/>
    <x v="0"/>
  </r>
  <r>
    <x v="1010"/>
    <x v="314"/>
    <x v="0"/>
    <x v="2"/>
    <x v="2"/>
    <x v="1010"/>
    <x v="0"/>
    <x v="1"/>
    <x v="4"/>
    <x v="0"/>
    <x v="5"/>
    <x v="5"/>
    <x v="3"/>
    <x v="0"/>
  </r>
  <r>
    <x v="1011"/>
    <x v="350"/>
    <x v="1"/>
    <x v="5"/>
    <x v="0"/>
    <x v="1011"/>
    <x v="4"/>
    <x v="4"/>
    <x v="4"/>
    <x v="1"/>
    <x v="0"/>
    <x v="0"/>
    <x v="0"/>
    <x v="0"/>
  </r>
  <r>
    <x v="1012"/>
    <x v="78"/>
    <x v="1"/>
    <x v="3"/>
    <x v="1"/>
    <x v="1012"/>
    <x v="0"/>
    <x v="6"/>
    <x v="0"/>
    <x v="0"/>
    <x v="3"/>
    <x v="1"/>
    <x v="1"/>
    <x v="0"/>
  </r>
  <r>
    <x v="1013"/>
    <x v="330"/>
    <x v="0"/>
    <x v="0"/>
    <x v="2"/>
    <x v="1013"/>
    <x v="0"/>
    <x v="2"/>
    <x v="4"/>
    <x v="0"/>
    <x v="0"/>
    <x v="2"/>
    <x v="2"/>
    <x v="0"/>
  </r>
  <r>
    <x v="1014"/>
    <x v="0"/>
    <x v="0"/>
    <x v="0"/>
    <x v="0"/>
    <x v="1014"/>
    <x v="2"/>
    <x v="5"/>
    <x v="3"/>
    <x v="0"/>
    <x v="4"/>
    <x v="0"/>
    <x v="0"/>
    <x v="0"/>
  </r>
  <r>
    <x v="1015"/>
    <x v="283"/>
    <x v="1"/>
    <x v="5"/>
    <x v="0"/>
    <x v="1015"/>
    <x v="3"/>
    <x v="2"/>
    <x v="3"/>
    <x v="0"/>
    <x v="1"/>
    <x v="3"/>
    <x v="3"/>
    <x v="0"/>
  </r>
  <r>
    <x v="1016"/>
    <x v="312"/>
    <x v="2"/>
    <x v="8"/>
    <x v="2"/>
    <x v="1016"/>
    <x v="0"/>
    <x v="4"/>
    <x v="1"/>
    <x v="0"/>
    <x v="4"/>
    <x v="1"/>
    <x v="1"/>
    <x v="0"/>
  </r>
  <r>
    <x v="1017"/>
    <x v="12"/>
    <x v="1"/>
    <x v="8"/>
    <x v="2"/>
    <x v="1017"/>
    <x v="1"/>
    <x v="6"/>
    <x v="4"/>
    <x v="0"/>
    <x v="3"/>
    <x v="3"/>
    <x v="3"/>
    <x v="0"/>
  </r>
  <r>
    <x v="1018"/>
    <x v="95"/>
    <x v="0"/>
    <x v="2"/>
    <x v="1"/>
    <x v="1018"/>
    <x v="0"/>
    <x v="2"/>
    <x v="2"/>
    <x v="0"/>
    <x v="1"/>
    <x v="1"/>
    <x v="1"/>
    <x v="0"/>
  </r>
  <r>
    <x v="1019"/>
    <x v="277"/>
    <x v="1"/>
    <x v="6"/>
    <x v="2"/>
    <x v="1019"/>
    <x v="2"/>
    <x v="2"/>
    <x v="3"/>
    <x v="1"/>
    <x v="0"/>
    <x v="1"/>
    <x v="1"/>
    <x v="0"/>
  </r>
  <r>
    <x v="1020"/>
    <x v="295"/>
    <x v="1"/>
    <x v="3"/>
    <x v="0"/>
    <x v="1020"/>
    <x v="0"/>
    <x v="0"/>
    <x v="3"/>
    <x v="0"/>
    <x v="4"/>
    <x v="5"/>
    <x v="3"/>
    <x v="0"/>
  </r>
  <r>
    <x v="1021"/>
    <x v="340"/>
    <x v="1"/>
    <x v="7"/>
    <x v="0"/>
    <x v="1021"/>
    <x v="1"/>
    <x v="0"/>
    <x v="1"/>
    <x v="1"/>
    <x v="3"/>
    <x v="3"/>
    <x v="3"/>
    <x v="0"/>
  </r>
  <r>
    <x v="1022"/>
    <x v="178"/>
    <x v="0"/>
    <x v="0"/>
    <x v="0"/>
    <x v="1022"/>
    <x v="4"/>
    <x v="4"/>
    <x v="3"/>
    <x v="0"/>
    <x v="1"/>
    <x v="0"/>
    <x v="0"/>
    <x v="0"/>
  </r>
  <r>
    <x v="1023"/>
    <x v="344"/>
    <x v="0"/>
    <x v="1"/>
    <x v="2"/>
    <x v="1023"/>
    <x v="3"/>
    <x v="2"/>
    <x v="2"/>
    <x v="1"/>
    <x v="5"/>
    <x v="3"/>
    <x v="3"/>
    <x v="0"/>
  </r>
  <r>
    <x v="1024"/>
    <x v="115"/>
    <x v="1"/>
    <x v="8"/>
    <x v="0"/>
    <x v="1024"/>
    <x v="1"/>
    <x v="5"/>
    <x v="2"/>
    <x v="0"/>
    <x v="5"/>
    <x v="3"/>
    <x v="3"/>
    <x v="0"/>
  </r>
  <r>
    <x v="1025"/>
    <x v="147"/>
    <x v="0"/>
    <x v="5"/>
    <x v="2"/>
    <x v="1025"/>
    <x v="2"/>
    <x v="0"/>
    <x v="0"/>
    <x v="0"/>
    <x v="0"/>
    <x v="2"/>
    <x v="2"/>
    <x v="0"/>
  </r>
  <r>
    <x v="1026"/>
    <x v="211"/>
    <x v="1"/>
    <x v="10"/>
    <x v="0"/>
    <x v="1026"/>
    <x v="1"/>
    <x v="4"/>
    <x v="1"/>
    <x v="0"/>
    <x v="1"/>
    <x v="4"/>
    <x v="3"/>
    <x v="0"/>
  </r>
  <r>
    <x v="1027"/>
    <x v="105"/>
    <x v="1"/>
    <x v="8"/>
    <x v="2"/>
    <x v="1027"/>
    <x v="3"/>
    <x v="2"/>
    <x v="0"/>
    <x v="0"/>
    <x v="0"/>
    <x v="3"/>
    <x v="3"/>
    <x v="0"/>
  </r>
  <r>
    <x v="1028"/>
    <x v="233"/>
    <x v="1"/>
    <x v="5"/>
    <x v="0"/>
    <x v="1028"/>
    <x v="3"/>
    <x v="1"/>
    <x v="4"/>
    <x v="1"/>
    <x v="0"/>
    <x v="2"/>
    <x v="2"/>
    <x v="0"/>
  </r>
  <r>
    <x v="1029"/>
    <x v="136"/>
    <x v="0"/>
    <x v="6"/>
    <x v="2"/>
    <x v="1029"/>
    <x v="1"/>
    <x v="3"/>
    <x v="4"/>
    <x v="1"/>
    <x v="1"/>
    <x v="3"/>
    <x v="3"/>
    <x v="0"/>
  </r>
  <r>
    <x v="1030"/>
    <x v="244"/>
    <x v="0"/>
    <x v="11"/>
    <x v="0"/>
    <x v="1030"/>
    <x v="3"/>
    <x v="4"/>
    <x v="1"/>
    <x v="0"/>
    <x v="1"/>
    <x v="4"/>
    <x v="3"/>
    <x v="0"/>
  </r>
  <r>
    <x v="1031"/>
    <x v="155"/>
    <x v="1"/>
    <x v="2"/>
    <x v="0"/>
    <x v="1031"/>
    <x v="4"/>
    <x v="6"/>
    <x v="2"/>
    <x v="0"/>
    <x v="1"/>
    <x v="0"/>
    <x v="0"/>
    <x v="0"/>
  </r>
  <r>
    <x v="1032"/>
    <x v="156"/>
    <x v="1"/>
    <x v="3"/>
    <x v="2"/>
    <x v="1032"/>
    <x v="0"/>
    <x v="4"/>
    <x v="4"/>
    <x v="0"/>
    <x v="0"/>
    <x v="0"/>
    <x v="0"/>
    <x v="0"/>
  </r>
  <r>
    <x v="1033"/>
    <x v="346"/>
    <x v="1"/>
    <x v="7"/>
    <x v="2"/>
    <x v="1033"/>
    <x v="2"/>
    <x v="6"/>
    <x v="4"/>
    <x v="0"/>
    <x v="1"/>
    <x v="1"/>
    <x v="1"/>
    <x v="0"/>
  </r>
  <r>
    <x v="1034"/>
    <x v="36"/>
    <x v="1"/>
    <x v="2"/>
    <x v="0"/>
    <x v="1034"/>
    <x v="1"/>
    <x v="6"/>
    <x v="1"/>
    <x v="0"/>
    <x v="3"/>
    <x v="1"/>
    <x v="1"/>
    <x v="0"/>
  </r>
  <r>
    <x v="1035"/>
    <x v="2"/>
    <x v="0"/>
    <x v="2"/>
    <x v="1"/>
    <x v="1035"/>
    <x v="1"/>
    <x v="3"/>
    <x v="0"/>
    <x v="1"/>
    <x v="0"/>
    <x v="5"/>
    <x v="3"/>
    <x v="0"/>
  </r>
  <r>
    <x v="1036"/>
    <x v="326"/>
    <x v="1"/>
    <x v="0"/>
    <x v="0"/>
    <x v="1036"/>
    <x v="2"/>
    <x v="2"/>
    <x v="4"/>
    <x v="0"/>
    <x v="2"/>
    <x v="4"/>
    <x v="3"/>
    <x v="0"/>
  </r>
  <r>
    <x v="1037"/>
    <x v="218"/>
    <x v="1"/>
    <x v="4"/>
    <x v="2"/>
    <x v="1037"/>
    <x v="2"/>
    <x v="2"/>
    <x v="1"/>
    <x v="1"/>
    <x v="3"/>
    <x v="0"/>
    <x v="0"/>
    <x v="0"/>
  </r>
  <r>
    <x v="1038"/>
    <x v="20"/>
    <x v="1"/>
    <x v="10"/>
    <x v="0"/>
    <x v="1038"/>
    <x v="3"/>
    <x v="4"/>
    <x v="1"/>
    <x v="0"/>
    <x v="0"/>
    <x v="0"/>
    <x v="0"/>
    <x v="0"/>
  </r>
  <r>
    <x v="1039"/>
    <x v="175"/>
    <x v="1"/>
    <x v="3"/>
    <x v="2"/>
    <x v="1039"/>
    <x v="0"/>
    <x v="2"/>
    <x v="0"/>
    <x v="0"/>
    <x v="1"/>
    <x v="1"/>
    <x v="1"/>
    <x v="0"/>
  </r>
  <r>
    <x v="1040"/>
    <x v="9"/>
    <x v="1"/>
    <x v="5"/>
    <x v="2"/>
    <x v="1040"/>
    <x v="0"/>
    <x v="5"/>
    <x v="3"/>
    <x v="0"/>
    <x v="0"/>
    <x v="0"/>
    <x v="0"/>
    <x v="0"/>
  </r>
  <r>
    <x v="1041"/>
    <x v="57"/>
    <x v="1"/>
    <x v="0"/>
    <x v="2"/>
    <x v="1041"/>
    <x v="1"/>
    <x v="0"/>
    <x v="3"/>
    <x v="1"/>
    <x v="1"/>
    <x v="3"/>
    <x v="3"/>
    <x v="0"/>
  </r>
  <r>
    <x v="1042"/>
    <x v="75"/>
    <x v="0"/>
    <x v="8"/>
    <x v="2"/>
    <x v="1042"/>
    <x v="4"/>
    <x v="4"/>
    <x v="1"/>
    <x v="1"/>
    <x v="1"/>
    <x v="4"/>
    <x v="3"/>
    <x v="0"/>
  </r>
  <r>
    <x v="1043"/>
    <x v="338"/>
    <x v="0"/>
    <x v="3"/>
    <x v="2"/>
    <x v="1043"/>
    <x v="2"/>
    <x v="1"/>
    <x v="4"/>
    <x v="1"/>
    <x v="5"/>
    <x v="4"/>
    <x v="3"/>
    <x v="0"/>
  </r>
  <r>
    <x v="1044"/>
    <x v="32"/>
    <x v="0"/>
    <x v="5"/>
    <x v="0"/>
    <x v="1044"/>
    <x v="4"/>
    <x v="5"/>
    <x v="1"/>
    <x v="0"/>
    <x v="1"/>
    <x v="0"/>
    <x v="0"/>
    <x v="0"/>
  </r>
  <r>
    <x v="1045"/>
    <x v="60"/>
    <x v="0"/>
    <x v="4"/>
    <x v="2"/>
    <x v="1045"/>
    <x v="4"/>
    <x v="6"/>
    <x v="2"/>
    <x v="0"/>
    <x v="5"/>
    <x v="2"/>
    <x v="2"/>
    <x v="0"/>
  </r>
  <r>
    <x v="1046"/>
    <x v="49"/>
    <x v="1"/>
    <x v="5"/>
    <x v="0"/>
    <x v="1046"/>
    <x v="3"/>
    <x v="4"/>
    <x v="4"/>
    <x v="0"/>
    <x v="1"/>
    <x v="5"/>
    <x v="3"/>
    <x v="0"/>
  </r>
  <r>
    <x v="1047"/>
    <x v="151"/>
    <x v="1"/>
    <x v="0"/>
    <x v="2"/>
    <x v="1047"/>
    <x v="1"/>
    <x v="5"/>
    <x v="3"/>
    <x v="0"/>
    <x v="0"/>
    <x v="4"/>
    <x v="3"/>
    <x v="0"/>
  </r>
  <r>
    <x v="1048"/>
    <x v="192"/>
    <x v="0"/>
    <x v="4"/>
    <x v="1"/>
    <x v="1048"/>
    <x v="3"/>
    <x v="6"/>
    <x v="4"/>
    <x v="1"/>
    <x v="4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createdVersion="7" indent="0" outline="1" outlineData="1" showDrill="1" multipleFieldFilters="0">
  <location ref="A1:N21" firstHeaderRow="1" firstDataRow="2" firstDataCol="1"/>
  <pivotFields count="14">
    <pivotField dataField="1" showAll="0">
      <items count="1050"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axis="axisCol" showAll="0">
      <items count="13">
        <item x="1"/>
        <item x="10"/>
        <item x="7"/>
        <item x="0"/>
        <item x="4"/>
        <item x="11"/>
        <item x="3"/>
        <item x="2"/>
        <item x="8"/>
        <item x="5"/>
        <item x="9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计数项:ID" fld="0" subtotal="count" baseField="0" baseItem="0"/>
  </dataFields>
  <formats count="26">
    <format dxfId="0">
      <pivotArea type="origin" dataOnly="0" labelOnly="1" outline="0" fieldPosition="0"/>
    </format>
    <format dxfId="1">
      <pivotArea field="4" type="button" dataOnly="0" labelOnly="1" outline="0" fieldPosition="0"/>
    </format>
    <format dxfId="2">
      <pivotArea field="3" type="button" dataOnly="0" labelOnly="1" outline="0" fieldPosition="0"/>
    </format>
    <format dxfId="3">
      <pivotArea dataOnly="0" labelOnly="1" fieldPosition="0">
        <references count="1"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4">
      <pivotArea dataOnly="0" labelOnly="1" grandCol="1" fieldPosition="0"/>
    </format>
    <format dxfId="5">
      <pivotArea dataOnly="0" labelOnly="1" fieldPosition="0">
        <references count="1">
          <reference field="4" count="1" defaultSubtotal="1">
            <x v="0"/>
          </reference>
        </references>
      </pivotArea>
    </format>
    <format dxfId="6">
      <pivotArea dataOnly="0" labelOnly="1" fieldPosition="0">
        <references count="2">
          <reference field="4" count="1">
            <x v="0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7">
      <pivotArea dataOnly="0" labelOnly="1" fieldPosition="0">
        <references count="1">
          <reference field="4" count="1" defaultSubtotal="1">
            <x v="1"/>
          </reference>
        </references>
      </pivotArea>
    </format>
    <format dxfId="8">
      <pivotArea dataOnly="0" labelOnly="1" fieldPosition="0">
        <references count="2">
          <reference field="4" count="1">
            <x v="1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9">
      <pivotArea dataOnly="0" labelOnly="1" fieldPosition="0">
        <references count="1">
          <reference field="4" count="1" defaultSubtotal="1">
            <x v="2"/>
          </reference>
        </references>
      </pivotArea>
    </format>
    <format dxfId="10">
      <pivotArea dataOnly="0" labelOnly="1" fieldPosition="0">
        <references count="2">
          <reference field="4" count="1">
            <x v="2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11">
      <pivotArea dataOnly="0" labelOnly="1" grandRow="1" fieldPosition="0"/>
    </format>
    <format dxfId="12">
      <pivotArea fieldPosition="0">
        <references count="2">
          <reference field="4" count="1" defaultSubtotal="1">
            <x v="0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13">
      <pivotArea grandCol="1" fieldPosition="0">
        <references count="1">
          <reference field="4" count="1" defaultSubtotal="1">
            <x v="0"/>
          </reference>
        </references>
      </pivotArea>
    </format>
    <format dxfId="14">
      <pivotArea fieldPosition="0">
        <references count="3">
          <reference field="4" count="1">
            <x v="0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15">
      <pivotArea grandCol="1" fieldPosition="0">
        <references count="2">
          <reference field="4" count="1">
            <x v="0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16">
      <pivotArea fieldPosition="0">
        <references count="2">
          <reference field="4" count="1" defaultSubtotal="1">
            <x v="1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17">
      <pivotArea grandCol="1" fieldPosition="0">
        <references count="1">
          <reference field="4" count="1" defaultSubtotal="1">
            <x v="1"/>
          </reference>
        </references>
      </pivotArea>
    </format>
    <format dxfId="18">
      <pivotArea fieldPosition="0">
        <references count="3">
          <reference field="4" count="1">
            <x v="1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19">
      <pivotArea grandCol="1" fieldPosition="0">
        <references count="2">
          <reference field="4" count="1">
            <x v="1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20">
      <pivotArea fieldPosition="0">
        <references count="2">
          <reference field="4" count="1" defaultSubtotal="1"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21">
      <pivotArea grandCol="1" fieldPosition="0">
        <references count="1">
          <reference field="4" count="1" defaultSubtotal="1">
            <x v="2"/>
          </reference>
        </references>
      </pivotArea>
    </format>
    <format dxfId="22">
      <pivotArea fieldPosition="0">
        <references count="3">
          <reference field="4" count="1">
            <x v="2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23">
      <pivotArea grandCol="1" fieldPosition="0">
        <references count="2">
          <reference field="4" count="1">
            <x v="2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24">
      <pivotArea grandRow="1" fieldPosition="0">
        <references count="1"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25">
      <pivotArea grandRow="1" grandCol="1" fieldPosition="0"/>
    </format>
  </format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" name="表_convertcsv" displayName="表_convertcsv" ref="A25:N1074">
  <autoFilter xmlns:etc="http://www.wps.cn/officeDocument/2017/etCustomData" ref="A25:N1074" etc:filterBottomFollowUsedRange="0"/>
  <tableColumns count="14">
    <tableColumn id="1" name="ID"/>
    <tableColumn id="2" name="tourist_attraction"/>
    <tableColumn id="3" name="level"/>
    <tableColumn id="5" name="city"/>
    <tableColumn id="6" name="type"/>
    <tableColumn id="9" name="name"/>
    <tableColumn id="12" name="transportation"/>
    <tableColumn id="13" name="visitor_type"/>
    <tableColumn id="14" name="visitor_status"/>
    <tableColumn id="15" name="organization"/>
    <tableColumn id="16" name="education_level"/>
    <tableColumn id="17" name="pay_method"/>
    <tableColumn id="18" name="discount"/>
    <tableColumn id="19" name="da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workbookViewId="0">
      <selection activeCell="J10" sqref="J10"/>
    </sheetView>
  </sheetViews>
  <sheetFormatPr defaultColWidth="7.5" defaultRowHeight="22.5" customHeight="1" outlineLevelRow="1" outlineLevelCol="1"/>
  <sheetData>
    <row r="2" customHeight="1" spans="2:2">
      <c r="B2" t="s">
        <v>0</v>
      </c>
    </row>
  </sheetData>
  <pageMargins left="0.7" right="0.7" top="0.75" bottom="0.75" header="0.3" footer="0.3"/>
  <pageSetup paperSize="1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25"/>
  <sheetViews>
    <sheetView workbookViewId="0">
      <selection activeCell="S25" sqref="S25"/>
    </sheetView>
  </sheetViews>
  <sheetFormatPr defaultColWidth="9.14423076923077" defaultRowHeight="15" customHeight="1"/>
  <cols>
    <col min="1" max="1" width="4.27884615384615" style="153" customWidth="1"/>
    <col min="2" max="21" width="8.57692307692308" style="153" customWidth="1"/>
    <col min="22" max="23" width="8.71153846153846" style="153" customWidth="1"/>
    <col min="24" max="40" width="9.14423076923077" style="153" customWidth="1"/>
  </cols>
  <sheetData>
    <row r="2" customHeight="1" spans="3:16">
      <c r="C2" s="154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</row>
    <row r="3" customHeight="1" spans="3:16"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5" customFormat="1" ht="53.25" customHeight="1" spans="2:2">
      <c r="B5" s="156"/>
    </row>
    <row r="6" ht="22.5" customHeight="1" spans="2:18">
      <c r="B6" s="157"/>
      <c r="N6" s="10"/>
      <c r="O6" s="10"/>
      <c r="Q6" s="10"/>
      <c r="R6" s="10"/>
    </row>
    <row r="7" ht="24" customHeight="1" spans="2:24">
      <c r="B7" s="158" t="s">
        <v>1</v>
      </c>
      <c r="C7" s="159"/>
      <c r="D7" s="159"/>
      <c r="E7" s="163"/>
      <c r="F7" s="163"/>
      <c r="H7" s="158" t="s">
        <v>2</v>
      </c>
      <c r="I7" s="159"/>
      <c r="J7" s="159"/>
      <c r="K7" s="163"/>
      <c r="L7" s="163"/>
      <c r="N7" s="158" t="s">
        <v>3</v>
      </c>
      <c r="O7" s="159"/>
      <c r="P7" s="159"/>
      <c r="Q7" s="164"/>
      <c r="R7" s="164"/>
      <c r="T7" s="167" t="s">
        <v>4</v>
      </c>
      <c r="U7" s="168"/>
      <c r="V7" s="168"/>
      <c r="W7" s="171"/>
      <c r="X7" s="171"/>
    </row>
    <row r="8" ht="19.5" customHeight="1" spans="2:24">
      <c r="B8" s="160" t="s">
        <v>5</v>
      </c>
      <c r="C8" s="160"/>
      <c r="D8" s="160"/>
      <c r="E8" s="160"/>
      <c r="F8" s="160"/>
      <c r="H8" s="160" t="s">
        <v>6</v>
      </c>
      <c r="I8" s="160"/>
      <c r="J8" s="160"/>
      <c r="K8" s="160"/>
      <c r="L8" s="160"/>
      <c r="N8" s="160" t="s">
        <v>7</v>
      </c>
      <c r="O8" s="160"/>
      <c r="P8" s="160"/>
      <c r="Q8" s="160"/>
      <c r="R8" s="160"/>
      <c r="T8" s="169" t="s">
        <v>8</v>
      </c>
      <c r="U8" s="169"/>
      <c r="V8" s="169"/>
      <c r="W8" s="169"/>
      <c r="X8" s="169"/>
    </row>
    <row r="9" ht="19.5" customHeight="1" spans="2:24">
      <c r="B9" s="160"/>
      <c r="C9" s="160"/>
      <c r="D9" s="160"/>
      <c r="E9" s="160"/>
      <c r="F9" s="160"/>
      <c r="H9" s="160"/>
      <c r="I9" s="160"/>
      <c r="J9" s="160"/>
      <c r="K9" s="160"/>
      <c r="L9" s="160"/>
      <c r="N9" s="160"/>
      <c r="O9" s="160"/>
      <c r="P9" s="160"/>
      <c r="Q9" s="160"/>
      <c r="R9" s="160"/>
      <c r="T9" s="169"/>
      <c r="U9" s="169"/>
      <c r="V9" s="169"/>
      <c r="W9" s="169"/>
      <c r="X9" s="169"/>
    </row>
    <row r="10" ht="19.5" customHeight="1" spans="2:24">
      <c r="B10" s="160"/>
      <c r="C10" s="160"/>
      <c r="D10" s="160"/>
      <c r="E10" s="160"/>
      <c r="F10" s="160"/>
      <c r="H10" s="160"/>
      <c r="I10" s="160"/>
      <c r="J10" s="160"/>
      <c r="K10" s="160"/>
      <c r="L10" s="160"/>
      <c r="N10" s="160"/>
      <c r="O10" s="160"/>
      <c r="P10" s="160"/>
      <c r="Q10" s="160"/>
      <c r="R10" s="160"/>
      <c r="T10" s="169"/>
      <c r="U10" s="169"/>
      <c r="V10" s="169"/>
      <c r="W10" s="169"/>
      <c r="X10" s="169"/>
    </row>
    <row r="12" ht="24" customHeight="1" spans="2:24">
      <c r="B12" s="158" t="s">
        <v>9</v>
      </c>
      <c r="C12" s="159"/>
      <c r="D12" s="159"/>
      <c r="E12" s="164"/>
      <c r="F12" s="164"/>
      <c r="H12" s="158" t="s">
        <v>10</v>
      </c>
      <c r="I12" s="159"/>
      <c r="J12" s="159"/>
      <c r="K12" s="164"/>
      <c r="L12" s="164"/>
      <c r="N12" s="167" t="s">
        <v>11</v>
      </c>
      <c r="O12" s="168"/>
      <c r="P12" s="168"/>
      <c r="Q12" s="170"/>
      <c r="R12" s="170"/>
      <c r="T12" s="167" t="s">
        <v>12</v>
      </c>
      <c r="U12" s="168"/>
      <c r="V12" s="168"/>
      <c r="W12" s="170"/>
      <c r="X12" s="170"/>
    </row>
    <row r="13" ht="19.5" customHeight="1" spans="2:24">
      <c r="B13" s="160" t="s">
        <v>13</v>
      </c>
      <c r="C13" s="160"/>
      <c r="D13" s="160"/>
      <c r="E13" s="160"/>
      <c r="F13" s="160"/>
      <c r="H13" s="160" t="s">
        <v>14</v>
      </c>
      <c r="I13" s="160"/>
      <c r="J13" s="160"/>
      <c r="K13" s="160"/>
      <c r="L13" s="160"/>
      <c r="N13" s="169" t="s">
        <v>15</v>
      </c>
      <c r="O13" s="169"/>
      <c r="P13" s="169"/>
      <c r="Q13" s="169"/>
      <c r="R13" s="169"/>
      <c r="T13" s="169" t="s">
        <v>16</v>
      </c>
      <c r="U13" s="169"/>
      <c r="V13" s="169"/>
      <c r="W13" s="169"/>
      <c r="X13" s="169"/>
    </row>
    <row r="14" ht="19.5" customHeight="1" spans="2:24">
      <c r="B14" s="160"/>
      <c r="C14" s="160"/>
      <c r="D14" s="160"/>
      <c r="E14" s="160"/>
      <c r="F14" s="160"/>
      <c r="H14" s="160"/>
      <c r="I14" s="160"/>
      <c r="J14" s="160"/>
      <c r="K14" s="160"/>
      <c r="L14" s="160"/>
      <c r="N14" s="169"/>
      <c r="O14" s="169"/>
      <c r="P14" s="169"/>
      <c r="Q14" s="169"/>
      <c r="R14" s="169"/>
      <c r="T14" s="169"/>
      <c r="U14" s="169"/>
      <c r="V14" s="169"/>
      <c r="W14" s="169"/>
      <c r="X14" s="169"/>
    </row>
    <row r="15" ht="19.5" customHeight="1" spans="2:24">
      <c r="B15" s="160"/>
      <c r="C15" s="160"/>
      <c r="D15" s="160"/>
      <c r="E15" s="160"/>
      <c r="F15" s="160"/>
      <c r="H15" s="160"/>
      <c r="I15" s="160"/>
      <c r="J15" s="160"/>
      <c r="K15" s="160"/>
      <c r="L15" s="160"/>
      <c r="M15" s="10"/>
      <c r="N15" s="169"/>
      <c r="O15" s="169"/>
      <c r="P15" s="169"/>
      <c r="Q15" s="169"/>
      <c r="R15" s="169"/>
      <c r="T15" s="169"/>
      <c r="U15" s="169"/>
      <c r="V15" s="169"/>
      <c r="W15" s="169"/>
      <c r="X15" s="169"/>
    </row>
    <row r="16" ht="16.5" customHeight="1" spans="17:18">
      <c r="Q16" s="10"/>
      <c r="R16" s="10"/>
    </row>
    <row r="17" ht="18.75" customHeight="1" spans="2:18">
      <c r="B17" s="157"/>
      <c r="Q17" s="10"/>
      <c r="R17" s="10"/>
    </row>
    <row r="18" ht="16.5" customHeight="1"/>
    <row r="19" ht="24" customHeight="1" spans="4:22">
      <c r="D19" s="161" t="s">
        <v>17</v>
      </c>
      <c r="E19" s="165"/>
      <c r="L19" s="165" t="s">
        <v>18</v>
      </c>
      <c r="M19" s="165"/>
      <c r="N19" s="153"/>
      <c r="O19" s="153"/>
      <c r="P19" s="153"/>
      <c r="U19" s="165" t="s">
        <v>19</v>
      </c>
      <c r="V19" s="165"/>
    </row>
    <row r="20" ht="19.5" customHeight="1" spans="4:25">
      <c r="D20" s="162" t="s">
        <v>20</v>
      </c>
      <c r="E20" s="162"/>
      <c r="F20" s="162"/>
      <c r="G20" s="162"/>
      <c r="H20" s="142"/>
      <c r="L20" s="162" t="s">
        <v>21</v>
      </c>
      <c r="M20" s="162"/>
      <c r="N20" s="162"/>
      <c r="O20" s="162"/>
      <c r="P20" s="142"/>
      <c r="U20" s="162" t="s">
        <v>22</v>
      </c>
      <c r="V20" s="162"/>
      <c r="W20" s="162"/>
      <c r="X20" s="162"/>
      <c r="Y20" s="142"/>
    </row>
    <row r="21" ht="19.5" customHeight="1" spans="4:25">
      <c r="D21" s="162"/>
      <c r="E21" s="162"/>
      <c r="F21" s="162"/>
      <c r="G21" s="162"/>
      <c r="H21" s="142"/>
      <c r="L21" s="162"/>
      <c r="M21" s="162"/>
      <c r="N21" s="162"/>
      <c r="O21" s="162"/>
      <c r="P21" s="142"/>
      <c r="U21" s="162"/>
      <c r="V21" s="162"/>
      <c r="W21" s="162"/>
      <c r="X21" s="162"/>
      <c r="Y21" s="142"/>
    </row>
    <row r="22" ht="19.5" customHeight="1" spans="4:25">
      <c r="D22" s="162"/>
      <c r="E22" s="162"/>
      <c r="F22" s="162"/>
      <c r="G22" s="162"/>
      <c r="H22" s="142"/>
      <c r="L22" s="162"/>
      <c r="M22" s="162"/>
      <c r="N22" s="162"/>
      <c r="O22" s="162"/>
      <c r="P22" s="142"/>
      <c r="U22" s="162"/>
      <c r="V22" s="162"/>
      <c r="W22" s="162"/>
      <c r="X22" s="162"/>
      <c r="Y22" s="142"/>
    </row>
    <row r="23" ht="19.5" customHeight="1" spans="4:25">
      <c r="D23" s="142"/>
      <c r="E23" s="142"/>
      <c r="F23" s="142"/>
      <c r="G23" s="142"/>
      <c r="H23" s="142"/>
      <c r="L23" s="142"/>
      <c r="M23" s="142"/>
      <c r="N23" s="142"/>
      <c r="O23" s="142"/>
      <c r="P23" s="142"/>
      <c r="U23" s="142"/>
      <c r="V23" s="142"/>
      <c r="W23" s="142"/>
      <c r="X23" s="142"/>
      <c r="Y23" s="142"/>
    </row>
    <row r="24" ht="19.5" customHeight="1" spans="4:25">
      <c r="D24" s="142"/>
      <c r="E24" s="142"/>
      <c r="F24" s="142"/>
      <c r="G24" s="142"/>
      <c r="H24" s="142"/>
      <c r="L24" s="142"/>
      <c r="M24" s="142"/>
      <c r="N24" s="142"/>
      <c r="O24" s="142"/>
      <c r="P24" s="142"/>
      <c r="U24" s="142"/>
      <c r="V24" s="142"/>
      <c r="W24" s="142"/>
      <c r="X24" s="142"/>
      <c r="Y24" s="142"/>
    </row>
    <row r="25" ht="21" customHeight="1" spans="6:25">
      <c r="F25" s="166"/>
      <c r="G25" s="166"/>
      <c r="H25" s="166"/>
      <c r="N25" s="166"/>
      <c r="O25" s="166"/>
      <c r="P25" s="166"/>
      <c r="W25" s="166"/>
      <c r="X25" s="166"/>
      <c r="Y25" s="166"/>
    </row>
  </sheetData>
  <mergeCells count="23">
    <mergeCell ref="E7:F7"/>
    <mergeCell ref="K7:L7"/>
    <mergeCell ref="Q7:R7"/>
    <mergeCell ref="W7:X7"/>
    <mergeCell ref="E12:F12"/>
    <mergeCell ref="K12:L12"/>
    <mergeCell ref="Q12:R12"/>
    <mergeCell ref="W12:X12"/>
    <mergeCell ref="F25:H25"/>
    <mergeCell ref="N25:P25"/>
    <mergeCell ref="W25:Y25"/>
    <mergeCell ref="B13:F15"/>
    <mergeCell ref="H8:L10"/>
    <mergeCell ref="N8:R10"/>
    <mergeCell ref="B8:F10"/>
    <mergeCell ref="H13:L15"/>
    <mergeCell ref="D20:H24"/>
    <mergeCell ref="L20:P24"/>
    <mergeCell ref="U20:Y24"/>
    <mergeCell ref="N13:R15"/>
    <mergeCell ref="T13:X15"/>
    <mergeCell ref="T8:X10"/>
    <mergeCell ref="C2:P3"/>
  </mergeCells>
  <conditionalFormatting sqref="H7">
    <cfRule type="cellIs" priority="11" operator="equal">
      <formula>"""占位“"</formula>
    </cfRule>
  </conditionalFormatting>
  <conditionalFormatting sqref="N7">
    <cfRule type="cellIs" priority="10" operator="equal">
      <formula>"""占位“"</formula>
    </cfRule>
  </conditionalFormatting>
  <conditionalFormatting sqref="Q7">
    <cfRule type="cellIs" priority="5" operator="equal">
      <formula>"""占位“"</formula>
    </cfRule>
  </conditionalFormatting>
  <conditionalFormatting sqref="B12">
    <cfRule type="cellIs" priority="9" operator="equal">
      <formula>"""占位“"</formula>
    </cfRule>
  </conditionalFormatting>
  <conditionalFormatting sqref="E12">
    <cfRule type="cellIs" priority="4" operator="equal">
      <formula>"""占位“"</formula>
    </cfRule>
  </conditionalFormatting>
  <conditionalFormatting sqref="H12">
    <cfRule type="cellIs" priority="8" operator="equal">
      <formula>"""占位“"</formula>
    </cfRule>
  </conditionalFormatting>
  <conditionalFormatting sqref="K12">
    <cfRule type="cellIs" priority="7" operator="equal">
      <formula>"""占位“"</formula>
    </cfRule>
    <cfRule type="cellIs" priority="3" operator="equal">
      <formula>"""占位“"</formula>
    </cfRule>
  </conditionalFormatting>
  <conditionalFormatting sqref="B17">
    <cfRule type="cellIs" priority="6" operator="equal">
      <formula>"""占位“"</formula>
    </cfRule>
  </conditionalFormatting>
  <conditionalFormatting sqref="A7:A9 B8 M7:M9 B7:E7 H8 S7:S9 N8 Y7:AH9 B13 B12:E12 A5:AN6 H7:K7 N7:Q7 A14:AN19 H13 H12:K12">
    <cfRule type="cellIs" priority="12" operator="equal">
      <formula>"""占位“"</formula>
    </cfRule>
  </conditionalFormatting>
  <conditionalFormatting sqref="T9:X10">
    <cfRule type="cellIs" priority="1" operator="equal">
      <formula>"""占位“"</formula>
    </cfRule>
  </conditionalFormatting>
  <pageMargins left="0.64" right="0.64" top="0.69" bottom="0.69" header="0.28" footer="0.28"/>
  <pageSetup paperSize="9" orientation="portrait" useFirstPageNumber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37"/>
  <sheetViews>
    <sheetView workbookViewId="0">
      <selection activeCell="L2" sqref="L2:M3"/>
    </sheetView>
  </sheetViews>
  <sheetFormatPr defaultColWidth="9.14423076923077" defaultRowHeight="16.5" customHeight="1"/>
  <cols>
    <col min="2" max="2" width="25" style="10" customWidth="1"/>
    <col min="3" max="3" width="42.1442307692308" style="10" customWidth="1"/>
    <col min="4" max="4" width="21.4230769230769" style="10" customWidth="1"/>
    <col min="5" max="5" width="20.5769230769231" style="10" customWidth="1"/>
    <col min="6" max="6" width="19.4230769230769" style="10" customWidth="1"/>
    <col min="7" max="10" width="16.5769230769231" style="10" customWidth="1"/>
    <col min="11" max="14" width="9.14423076923077" style="10" customWidth="1"/>
  </cols>
  <sheetData>
    <row r="1" ht="28.5" customHeight="1" spans="2:10">
      <c r="B1" s="46" t="s">
        <v>23</v>
      </c>
      <c r="C1" s="46"/>
      <c r="D1" s="46"/>
      <c r="E1" s="46"/>
      <c r="F1" s="46"/>
      <c r="G1" s="46"/>
      <c r="H1" s="46"/>
      <c r="I1" s="46"/>
      <c r="J1" s="46"/>
    </row>
    <row r="2" ht="17.25" customHeight="1" spans="2:13">
      <c r="B2" s="125" t="s">
        <v>24</v>
      </c>
      <c r="C2" s="125" t="s">
        <v>25</v>
      </c>
      <c r="D2" s="125" t="s">
        <v>26</v>
      </c>
      <c r="E2" s="125"/>
      <c r="F2" s="125"/>
      <c r="G2" s="125"/>
      <c r="H2" s="125"/>
      <c r="I2" s="125"/>
      <c r="J2" s="125"/>
      <c r="L2" s="123"/>
      <c r="M2" s="123"/>
    </row>
    <row r="3" ht="18" customHeight="1" spans="2:13">
      <c r="B3" s="125" t="s">
        <v>27</v>
      </c>
      <c r="C3" s="126" t="s">
        <v>28</v>
      </c>
      <c r="D3" s="127">
        <f>PI()</f>
        <v>3.14159265358979</v>
      </c>
      <c r="E3" s="127"/>
      <c r="F3" s="127"/>
      <c r="G3" s="127"/>
      <c r="H3" s="127"/>
      <c r="I3" s="127"/>
      <c r="J3" s="127"/>
      <c r="L3" s="124"/>
      <c r="M3" s="124"/>
    </row>
    <row r="4" ht="17.25" customHeight="1" spans="2:10">
      <c r="B4" s="125" t="s">
        <v>29</v>
      </c>
      <c r="C4" s="126" t="s">
        <v>30</v>
      </c>
      <c r="D4" s="128">
        <f>ROUND(E4*F4,0)</f>
        <v>3</v>
      </c>
      <c r="E4" s="131">
        <v>1.11</v>
      </c>
      <c r="F4" s="131">
        <v>2.33</v>
      </c>
      <c r="G4" s="131"/>
      <c r="H4" s="131"/>
      <c r="I4" s="131"/>
      <c r="J4" s="131"/>
    </row>
    <row r="5" customHeight="1" spans="2:14">
      <c r="B5" s="125" t="s">
        <v>31</v>
      </c>
      <c r="C5" s="126" t="s">
        <v>32</v>
      </c>
      <c r="D5" s="128">
        <f>CEILING(E5*F5,5)</f>
        <v>10</v>
      </c>
      <c r="E5" s="131">
        <v>2.4</v>
      </c>
      <c r="F5" s="131">
        <v>3</v>
      </c>
      <c r="G5" s="138">
        <f>E5*F5</f>
        <v>7.2</v>
      </c>
      <c r="H5" s="131"/>
      <c r="I5" s="131"/>
      <c r="J5" s="131"/>
      <c r="L5" s="16"/>
      <c r="M5" s="16"/>
      <c r="N5" s="16"/>
    </row>
    <row r="6" ht="17.25" customHeight="1" spans="2:14">
      <c r="B6" s="125" t="s">
        <v>33</v>
      </c>
      <c r="C6" s="126" t="s">
        <v>34</v>
      </c>
      <c r="D6" s="128">
        <f>ROUND(E6*F6,1)</f>
        <v>2.6</v>
      </c>
      <c r="E6" s="131">
        <v>1.11</v>
      </c>
      <c r="F6" s="131">
        <v>2.33</v>
      </c>
      <c r="G6" s="131"/>
      <c r="H6" s="131"/>
      <c r="I6" s="131"/>
      <c r="J6" s="131"/>
      <c r="L6" s="17"/>
      <c r="M6" s="17"/>
      <c r="N6" s="17"/>
    </row>
    <row r="7" ht="17.25" customHeight="1" spans="2:10">
      <c r="B7" s="125" t="s">
        <v>35</v>
      </c>
      <c r="C7" s="126" t="s">
        <v>36</v>
      </c>
      <c r="D7" s="128">
        <f>ROUND(E7*F7,2)</f>
        <v>2.59</v>
      </c>
      <c r="E7" s="131">
        <v>1.11</v>
      </c>
      <c r="F7" s="131">
        <v>2.33</v>
      </c>
      <c r="G7" s="131"/>
      <c r="H7" s="131"/>
      <c r="I7" s="131"/>
      <c r="J7" s="131"/>
    </row>
    <row r="8" customHeight="1" spans="2:14">
      <c r="B8" s="125" t="s">
        <v>37</v>
      </c>
      <c r="C8" s="126" t="s">
        <v>38</v>
      </c>
      <c r="D8" s="128">
        <f t="shared" ref="D8:D9" si="0">VLOOKUP(E8,$F$8:$G$9,2,0)*$H$8</f>
        <v>4000</v>
      </c>
      <c r="E8" s="131" t="s">
        <v>39</v>
      </c>
      <c r="F8" s="131" t="s">
        <v>39</v>
      </c>
      <c r="G8" s="131">
        <v>200</v>
      </c>
      <c r="H8" s="131">
        <v>20</v>
      </c>
      <c r="I8" s="131"/>
      <c r="J8" s="131"/>
      <c r="L8" s="18"/>
      <c r="M8" s="18"/>
      <c r="N8" s="18"/>
    </row>
    <row r="9" customHeight="1" spans="2:14">
      <c r="B9" s="125"/>
      <c r="C9" s="126" t="s">
        <v>40</v>
      </c>
      <c r="D9" s="128">
        <f t="shared" si="0"/>
        <v>6000</v>
      </c>
      <c r="E9" s="131" t="s">
        <v>41</v>
      </c>
      <c r="F9" s="131" t="s">
        <v>41</v>
      </c>
      <c r="G9" s="131">
        <v>300</v>
      </c>
      <c r="H9" s="131"/>
      <c r="I9" s="131"/>
      <c r="J9" s="131"/>
      <c r="L9" s="19"/>
      <c r="M9" s="19"/>
      <c r="N9" s="19"/>
    </row>
    <row r="10" customHeight="1" spans="2:10">
      <c r="B10" s="125" t="s">
        <v>42</v>
      </c>
      <c r="C10" s="126" t="s">
        <v>43</v>
      </c>
      <c r="D10" s="128">
        <f t="shared" ref="D10:D11" si="1">HLOOKUP(E10,$F$10:$G$11,$J$10,0)/$H$10</f>
        <v>200</v>
      </c>
      <c r="E10" s="131" t="s">
        <v>39</v>
      </c>
      <c r="F10" s="131" t="s">
        <v>39</v>
      </c>
      <c r="G10" s="131" t="s">
        <v>41</v>
      </c>
      <c r="H10" s="131">
        <v>10</v>
      </c>
      <c r="I10" s="131"/>
      <c r="J10" s="131">
        <v>2</v>
      </c>
    </row>
    <row r="11" customHeight="1" spans="2:14">
      <c r="B11" s="125"/>
      <c r="C11" s="126" t="s">
        <v>44</v>
      </c>
      <c r="D11" s="128">
        <f t="shared" si="1"/>
        <v>300</v>
      </c>
      <c r="E11" s="131" t="s">
        <v>41</v>
      </c>
      <c r="F11" s="131">
        <v>2000</v>
      </c>
      <c r="G11" s="131">
        <v>3000</v>
      </c>
      <c r="H11" s="131"/>
      <c r="I11" s="131"/>
      <c r="J11" s="131"/>
      <c r="L11" s="16"/>
      <c r="M11" s="16"/>
      <c r="N11" s="16"/>
    </row>
    <row r="12" customHeight="1" spans="2:14">
      <c r="B12" s="125" t="s">
        <v>45</v>
      </c>
      <c r="C12" s="126" t="s">
        <v>46</v>
      </c>
      <c r="D12" s="128">
        <f>ABS(E12)</f>
        <v>3.14159265</v>
      </c>
      <c r="E12" s="131">
        <v>-3.14159265</v>
      </c>
      <c r="F12" s="131"/>
      <c r="G12" s="131"/>
      <c r="H12" s="131"/>
      <c r="I12" s="131"/>
      <c r="J12" s="131"/>
      <c r="L12" s="17"/>
      <c r="M12" s="17"/>
      <c r="N12" s="17"/>
    </row>
    <row r="13" customHeight="1" spans="2:10">
      <c r="B13" s="125" t="s">
        <v>47</v>
      </c>
      <c r="C13" s="126" t="s">
        <v>48</v>
      </c>
      <c r="D13" s="129">
        <f>DATE(E13,F13,G13)</f>
        <v>45017</v>
      </c>
      <c r="E13" s="131">
        <v>2023</v>
      </c>
      <c r="F13" s="131">
        <v>4</v>
      </c>
      <c r="G13" s="131">
        <v>1</v>
      </c>
      <c r="H13" s="131"/>
      <c r="I13" s="131"/>
      <c r="J13" s="131"/>
    </row>
    <row r="14" ht="15.75" customHeight="1" spans="2:10">
      <c r="B14" s="125"/>
      <c r="C14" s="126" t="s">
        <v>49</v>
      </c>
      <c r="D14" s="128">
        <f>YEAR(D13)</f>
        <v>2023</v>
      </c>
      <c r="E14" s="132">
        <f>YEAR("2023-4-01")</f>
        <v>2023</v>
      </c>
      <c r="F14" s="132">
        <f>MONTH(D13)</f>
        <v>4</v>
      </c>
      <c r="G14" s="132">
        <f>MONTH("2023-4-01")</f>
        <v>4</v>
      </c>
      <c r="H14" s="132">
        <f>DAY(D13)</f>
        <v>1</v>
      </c>
      <c r="I14" s="132">
        <f>DAY("2023-4-01")</f>
        <v>1</v>
      </c>
      <c r="J14" s="131"/>
    </row>
    <row r="15" customHeight="1" spans="2:10">
      <c r="B15" s="125" t="s">
        <v>50</v>
      </c>
      <c r="C15" s="130"/>
      <c r="D15" s="131" t="s">
        <v>50</v>
      </c>
      <c r="E15" s="131" t="s">
        <v>51</v>
      </c>
      <c r="F15" s="131" t="s">
        <v>52</v>
      </c>
      <c r="G15" s="131" t="s">
        <v>53</v>
      </c>
      <c r="H15" s="131"/>
      <c r="I15" s="131"/>
      <c r="J15" s="131"/>
    </row>
    <row r="16" customHeight="1" spans="2:10">
      <c r="B16" s="125"/>
      <c r="C16" s="126" t="s">
        <v>54</v>
      </c>
      <c r="D16" s="132">
        <f>PRODUCT(F16,$E$16,G16:J16)</f>
        <v>581.4</v>
      </c>
      <c r="E16" s="131">
        <v>100</v>
      </c>
      <c r="F16" s="131">
        <v>10</v>
      </c>
      <c r="G16" s="144">
        <v>0.8</v>
      </c>
      <c r="H16" s="144">
        <v>0.85</v>
      </c>
      <c r="I16" s="144">
        <v>0.9</v>
      </c>
      <c r="J16" s="144">
        <v>0.95</v>
      </c>
    </row>
    <row r="17" customHeight="1" spans="2:10">
      <c r="B17" s="125"/>
      <c r="C17" s="126" t="s">
        <v>55</v>
      </c>
      <c r="D17" s="132">
        <f>PRODUCT(F17,$E$16,G17)</f>
        <v>80</v>
      </c>
      <c r="E17" s="131"/>
      <c r="F17" s="131">
        <v>1</v>
      </c>
      <c r="G17" s="144">
        <v>0.8</v>
      </c>
      <c r="H17" s="144"/>
      <c r="I17" s="144"/>
      <c r="J17" s="144"/>
    </row>
    <row r="18" customHeight="1" spans="2:10">
      <c r="B18" s="125" t="s">
        <v>56</v>
      </c>
      <c r="C18" s="130" t="s">
        <v>57</v>
      </c>
      <c r="D18" s="132">
        <f>SUMIF($F$18:$F$19,"√",$E$18:$E$19)</f>
        <v>200</v>
      </c>
      <c r="E18" s="131">
        <v>200</v>
      </c>
      <c r="F18" s="131" t="s">
        <v>58</v>
      </c>
      <c r="G18" s="132">
        <f>SUMIF($H$18:$H$19,"&gt;=3",$I$18:$I$19)</f>
        <v>230</v>
      </c>
      <c r="H18" s="131">
        <v>2</v>
      </c>
      <c r="I18" s="131">
        <v>100</v>
      </c>
      <c r="J18" s="132">
        <f>SUMIF($H$18:$H$19,"&lt;=3",$I$18:$I$19)</f>
        <v>330</v>
      </c>
    </row>
    <row r="19" customHeight="1" spans="2:10">
      <c r="B19" s="125"/>
      <c r="C19" s="130"/>
      <c r="D19" s="132"/>
      <c r="E19" s="131">
        <v>300</v>
      </c>
      <c r="F19" s="133" t="s">
        <v>59</v>
      </c>
      <c r="G19" s="132"/>
      <c r="H19" s="131">
        <v>3</v>
      </c>
      <c r="I19" s="131">
        <v>230</v>
      </c>
      <c r="J19" s="132"/>
    </row>
    <row r="20" customHeight="1" spans="2:10">
      <c r="B20" s="125" t="s">
        <v>60</v>
      </c>
      <c r="C20" s="126" t="s">
        <v>61</v>
      </c>
      <c r="D20" s="132">
        <f>SUMIF($F$21:$I$21,"D80",$G$21:$J$21)</f>
        <v>100</v>
      </c>
      <c r="E20" s="133" t="s">
        <v>62</v>
      </c>
      <c r="F20" s="133" t="s">
        <v>63</v>
      </c>
      <c r="G20" s="133" t="s">
        <v>64</v>
      </c>
      <c r="H20" s="133" t="s">
        <v>62</v>
      </c>
      <c r="I20" s="133" t="s">
        <v>63</v>
      </c>
      <c r="J20" s="133" t="s">
        <v>64</v>
      </c>
    </row>
    <row r="21" ht="27.75" customHeight="1" spans="2:10">
      <c r="B21" s="125"/>
      <c r="C21" s="130" t="s">
        <v>65</v>
      </c>
      <c r="D21" s="132">
        <f t="array" ref="D21">SUM(SUMIF($E$21:$H$21,{"平一","平二","平三"},$G$21:$J$21))</f>
        <v>130</v>
      </c>
      <c r="E21" s="133" t="s">
        <v>66</v>
      </c>
      <c r="F21" s="133" t="s">
        <v>67</v>
      </c>
      <c r="G21" s="133">
        <v>30</v>
      </c>
      <c r="H21" s="133" t="s">
        <v>66</v>
      </c>
      <c r="I21" s="133" t="s">
        <v>68</v>
      </c>
      <c r="J21" s="133">
        <v>100</v>
      </c>
    </row>
    <row r="22" customHeight="1" spans="2:10">
      <c r="B22" s="125" t="s">
        <v>69</v>
      </c>
      <c r="C22" s="130" t="s">
        <v>70</v>
      </c>
      <c r="D22" s="131"/>
      <c r="E22" s="133"/>
      <c r="F22" s="133" t="s">
        <v>71</v>
      </c>
      <c r="G22" s="133" t="s">
        <v>72</v>
      </c>
      <c r="H22" s="133" t="s">
        <v>73</v>
      </c>
      <c r="I22" s="133" t="s">
        <v>74</v>
      </c>
      <c r="J22" s="133" t="s">
        <v>75</v>
      </c>
    </row>
    <row r="23" customHeight="1" spans="2:10">
      <c r="B23" s="125"/>
      <c r="C23" s="130"/>
      <c r="D23" s="133" t="s">
        <v>66</v>
      </c>
      <c r="E23" s="133" t="s">
        <v>76</v>
      </c>
      <c r="F23" s="133">
        <v>1000</v>
      </c>
      <c r="G23" s="133">
        <v>1000</v>
      </c>
      <c r="H23" s="133">
        <v>1000</v>
      </c>
      <c r="I23" s="133">
        <v>1000</v>
      </c>
      <c r="J23" s="133">
        <v>1000</v>
      </c>
    </row>
    <row r="24" customHeight="1" spans="2:10">
      <c r="B24" s="125"/>
      <c r="C24" s="130"/>
      <c r="D24" s="133" t="s">
        <v>72</v>
      </c>
      <c r="E24" s="133" t="s">
        <v>66</v>
      </c>
      <c r="F24" s="133">
        <v>1000</v>
      </c>
      <c r="G24" s="133">
        <v>1000</v>
      </c>
      <c r="H24" s="133">
        <v>1000</v>
      </c>
      <c r="I24" s="133">
        <v>1000</v>
      </c>
      <c r="J24" s="133">
        <v>1000</v>
      </c>
    </row>
    <row r="25" customHeight="1" spans="2:10">
      <c r="B25" s="125"/>
      <c r="C25" s="130"/>
      <c r="D25" s="132">
        <f t="array" ref="D25">SUMPRODUCT(($E$23:$E$25=$D$23)*($F$22:$J$22=$D$24)*$F$23:$J$25)</f>
        <v>1000</v>
      </c>
      <c r="E25" s="133" t="s">
        <v>77</v>
      </c>
      <c r="F25" s="133">
        <v>1000</v>
      </c>
      <c r="G25" s="133">
        <v>1000</v>
      </c>
      <c r="H25" s="133">
        <v>1000</v>
      </c>
      <c r="I25" s="133">
        <v>1000</v>
      </c>
      <c r="J25" s="133">
        <v>1000</v>
      </c>
    </row>
    <row r="26" customHeight="1" spans="2:10">
      <c r="B26" s="125" t="s">
        <v>78</v>
      </c>
      <c r="C26" s="130" t="s">
        <v>79</v>
      </c>
      <c r="D26" s="133" t="s">
        <v>80</v>
      </c>
      <c r="E26" s="133" t="s">
        <v>78</v>
      </c>
      <c r="F26" s="133" t="s">
        <v>81</v>
      </c>
      <c r="G26" s="133" t="s">
        <v>82</v>
      </c>
      <c r="H26" s="131"/>
      <c r="I26" s="131"/>
      <c r="J26" s="131"/>
    </row>
    <row r="27" customHeight="1" spans="2:10">
      <c r="B27" s="125"/>
      <c r="C27" s="130"/>
      <c r="D27" s="134">
        <f ca="1" t="shared" ref="D27:D31" si="2">TODAY()-RANDBETWEEN(365,365*RANDBETWEEN(5,10))</f>
        <v>45169</v>
      </c>
      <c r="E27" s="132" t="str">
        <f ca="1">IF(D27=0,0,LOOKUP(--TEXT(D27,"m.dd"),{1.01,1.21,2.19,3.21,4.21,5.21,6.22,7.23,8.23,9.23,10.23,11.22,12.22},{"魔羯座","水瓶座","双鱼座","牡羊座","金牛座","双子座","巨蟹座","狮子座","处女座","天秤座","天蝎座","射手座","魔羯座"}))</f>
        <v>处女座</v>
      </c>
      <c r="F27" s="132" t="str">
        <f ca="1" t="shared" ref="F27:F31" si="3">IF(D27=0,0,MID("猴鸡狗猪鼠牛虎兔龙蛇马羊",MOD(YEAR(D27),12)+1,1))</f>
        <v>兔</v>
      </c>
      <c r="G27" s="132">
        <f ca="1" t="shared" ref="G27:G31" si="4">IF(D27=0,0,DATEDIF(D27,TODAY(),"y"))</f>
        <v>2</v>
      </c>
      <c r="H27" s="131"/>
      <c r="I27" s="131"/>
      <c r="J27" s="131"/>
    </row>
    <row r="28" customHeight="1" spans="2:10">
      <c r="B28" s="125"/>
      <c r="C28" s="130"/>
      <c r="D28" s="134">
        <f ca="1" t="shared" si="2"/>
        <v>45550</v>
      </c>
      <c r="E28" s="132" t="str">
        <f ca="1">IF(D28=0,0,LOOKUP(--TEXT(D28,"m.dd"),{1.01,1.21,2.19,3.21,4.21,5.21,6.22,7.23,8.23,9.23,10.23,11.22,12.22},{"魔羯座","水瓶座","双鱼座","牡羊座","金牛座","双子座","巨蟹座","狮子座","处女座","天秤座","天蝎座","射手座","魔羯座"}))</f>
        <v>处女座</v>
      </c>
      <c r="F28" s="132" t="str">
        <f ca="1" t="shared" si="3"/>
        <v>龙</v>
      </c>
      <c r="G28" s="132">
        <f ca="1" t="shared" si="4"/>
        <v>1</v>
      </c>
      <c r="H28" s="131"/>
      <c r="I28" s="131"/>
      <c r="J28" s="131"/>
    </row>
    <row r="29" customHeight="1" spans="2:10">
      <c r="B29" s="125"/>
      <c r="C29" s="130"/>
      <c r="D29" s="134">
        <f ca="1" t="shared" si="2"/>
        <v>43818</v>
      </c>
      <c r="E29" s="132" t="str">
        <f ca="1">IF(D29=0,0,LOOKUP(--TEXT(D29,"m.dd"),{1.01,1.21,2.19,3.21,4.21,5.21,6.22,7.23,8.23,9.23,10.23,11.22,12.22},{"魔羯座","水瓶座","双鱼座","牡羊座","金牛座","双子座","巨蟹座","狮子座","处女座","天秤座","天蝎座","射手座","魔羯座"}))</f>
        <v>射手座</v>
      </c>
      <c r="F29" s="132" t="str">
        <f ca="1" t="shared" si="3"/>
        <v>猪</v>
      </c>
      <c r="G29" s="132">
        <f ca="1" t="shared" si="4"/>
        <v>6</v>
      </c>
      <c r="H29" s="131"/>
      <c r="I29" s="131"/>
      <c r="J29" s="131"/>
    </row>
    <row r="30" customHeight="1" spans="2:10">
      <c r="B30" s="125"/>
      <c r="C30" s="130"/>
      <c r="D30" s="134">
        <f ca="1" t="shared" si="2"/>
        <v>44826</v>
      </c>
      <c r="E30" s="132" t="str">
        <f ca="1">IF(D30=0,0,LOOKUP(--TEXT(D30,"m.dd"),{1.01,1.21,2.19,3.21,4.21,5.21,6.22,7.23,8.23,9.23,10.23,11.22,12.22},{"魔羯座","水瓶座","双鱼座","牡羊座","金牛座","双子座","巨蟹座","狮子座","处女座","天秤座","天蝎座","射手座","魔羯座"}))</f>
        <v>处女座</v>
      </c>
      <c r="F30" s="132" t="str">
        <f ca="1" t="shared" si="3"/>
        <v>虎</v>
      </c>
      <c r="G30" s="132">
        <f ca="1" t="shared" si="4"/>
        <v>3</v>
      </c>
      <c r="H30" s="131"/>
      <c r="I30" s="131"/>
      <c r="J30" s="131"/>
    </row>
    <row r="31" customHeight="1" spans="2:10">
      <c r="B31" s="125" t="s">
        <v>82</v>
      </c>
      <c r="C31" s="126" t="s">
        <v>83</v>
      </c>
      <c r="D31" s="134">
        <f ca="1" t="shared" si="2"/>
        <v>45728</v>
      </c>
      <c r="E31" s="132" t="str">
        <f ca="1">IF(D31=0,0,LOOKUP(--TEXT(D31,"m.dd"),{1.01,1.21,2.19,3.21,4.21,5.21,6.22,7.23,8.23,9.23,10.23,11.22,12.22},{"魔羯座","水瓶座","双鱼座","牡羊座","金牛座","双子座","巨蟹座","狮子座","处女座","天秤座","天蝎座","射手座","魔羯座"}))</f>
        <v>双鱼座</v>
      </c>
      <c r="F31" s="132" t="str">
        <f ca="1" t="shared" si="3"/>
        <v>蛇</v>
      </c>
      <c r="G31" s="132">
        <f ca="1" t="shared" si="4"/>
        <v>1</v>
      </c>
      <c r="H31" s="131"/>
      <c r="I31" s="131"/>
      <c r="J31" s="131"/>
    </row>
    <row r="32" customHeight="1" spans="2:10">
      <c r="B32" s="135" t="s">
        <v>84</v>
      </c>
      <c r="C32" s="136" t="s">
        <v>85</v>
      </c>
      <c r="D32" s="137">
        <f>COUNTIF(E32:J32,"√")</f>
        <v>3</v>
      </c>
      <c r="E32" s="134" t="s">
        <v>58</v>
      </c>
      <c r="F32" s="134" t="s">
        <v>58</v>
      </c>
      <c r="G32" s="134" t="s">
        <v>59</v>
      </c>
      <c r="H32" s="134" t="s">
        <v>86</v>
      </c>
      <c r="I32" s="134" t="s">
        <v>58</v>
      </c>
      <c r="J32" s="134" t="s">
        <v>87</v>
      </c>
    </row>
    <row r="33" ht="27.75" customHeight="1" spans="2:10">
      <c r="B33" s="125" t="s">
        <v>88</v>
      </c>
      <c r="C33" s="130" t="s">
        <v>89</v>
      </c>
      <c r="D33" s="138"/>
      <c r="E33" s="131" t="s">
        <v>90</v>
      </c>
      <c r="F33" s="131" t="s">
        <v>91</v>
      </c>
      <c r="G33" s="131" t="s">
        <v>92</v>
      </c>
      <c r="H33" s="131"/>
      <c r="I33" s="131" t="s">
        <v>93</v>
      </c>
      <c r="J33" s="131" t="s">
        <v>88</v>
      </c>
    </row>
    <row r="34" ht="27.75" customHeight="1" spans="2:10">
      <c r="B34" s="125" t="s">
        <v>93</v>
      </c>
      <c r="C34" s="130" t="s">
        <v>94</v>
      </c>
      <c r="D34" s="139">
        <f>$J34/365</f>
        <v>0.493150684931507</v>
      </c>
      <c r="E34" s="131" t="s">
        <v>95</v>
      </c>
      <c r="F34" s="145"/>
      <c r="G34" s="145"/>
      <c r="H34" s="145"/>
      <c r="I34" s="137" t="str">
        <f>IF(OR($F34="",$G34=""),"",DATEDIF($F34,$G34,"y"))</f>
        <v/>
      </c>
      <c r="J34" s="137">
        <v>180</v>
      </c>
    </row>
    <row r="35" customHeight="1" spans="2:10">
      <c r="B35" s="125" t="s">
        <v>96</v>
      </c>
      <c r="C35" s="126"/>
      <c r="D35" s="131"/>
      <c r="E35" s="146"/>
      <c r="F35" s="146" t="s">
        <v>97</v>
      </c>
      <c r="G35" s="146" t="s">
        <v>98</v>
      </c>
      <c r="H35" s="146"/>
      <c r="I35" s="146" t="s">
        <v>99</v>
      </c>
      <c r="J35" s="146" t="s">
        <v>100</v>
      </c>
    </row>
    <row r="36" customHeight="1" spans="2:10">
      <c r="B36" s="125"/>
      <c r="C36" s="126" t="s">
        <v>101</v>
      </c>
      <c r="D36" s="131"/>
      <c r="E36" s="137">
        <f>COUNTIF(F$36:F36,J$35)</f>
        <v>1</v>
      </c>
      <c r="F36" s="146" t="s">
        <v>100</v>
      </c>
      <c r="G36" s="146" t="s">
        <v>102</v>
      </c>
      <c r="H36" s="146"/>
      <c r="I36" s="146"/>
      <c r="J36" s="146"/>
    </row>
    <row r="37" customHeight="1" spans="2:10">
      <c r="B37" s="125"/>
      <c r="C37" s="126"/>
      <c r="D37" s="131"/>
      <c r="E37" s="137">
        <f>COUNTIF(F$36:F37,J$35)</f>
        <v>2</v>
      </c>
      <c r="F37" s="146" t="s">
        <v>100</v>
      </c>
      <c r="G37" s="146" t="s">
        <v>103</v>
      </c>
      <c r="H37" s="146"/>
      <c r="I37" s="146" t="s">
        <v>98</v>
      </c>
      <c r="J37" s="137" t="str">
        <f>IFERROR(VLOOKUP(ROW(E1),$E$35:$G$45,3,0),"")</f>
        <v>张三</v>
      </c>
    </row>
    <row r="38" customHeight="1" spans="2:10">
      <c r="B38" s="125"/>
      <c r="C38" s="126"/>
      <c r="D38" s="131"/>
      <c r="E38" s="137">
        <f>COUNTIF(F$36:F38,J$35)</f>
        <v>3</v>
      </c>
      <c r="F38" s="146" t="s">
        <v>100</v>
      </c>
      <c r="G38" s="146" t="s">
        <v>104</v>
      </c>
      <c r="H38" s="146"/>
      <c r="I38" s="146"/>
      <c r="J38" s="137" t="str">
        <f>IFERROR(VLOOKUP(ROW(E2),$F$80:$H$90,3,0),"")</f>
        <v/>
      </c>
    </row>
    <row r="39" customHeight="1" spans="2:10">
      <c r="B39" s="125"/>
      <c r="C39" s="126" t="s">
        <v>105</v>
      </c>
      <c r="D39" s="131"/>
      <c r="E39" s="137">
        <f>COUNTIF(F$36:F39,J$35)</f>
        <v>4</v>
      </c>
      <c r="F39" s="146" t="s">
        <v>100</v>
      </c>
      <c r="G39" s="146" t="s">
        <v>106</v>
      </c>
      <c r="H39" s="146"/>
      <c r="I39" s="146"/>
      <c r="J39" s="137" t="str">
        <f t="shared" ref="J39:J40" si="5">IFERROR(VLOOKUP(ROW(E18),$F$80:$H$90,3,0),"")</f>
        <v/>
      </c>
    </row>
    <row r="40" customHeight="1" spans="2:10">
      <c r="B40" s="125"/>
      <c r="C40" s="126"/>
      <c r="D40" s="131"/>
      <c r="E40" s="137">
        <f>COUNTIF(F$36:F40,J$35)</f>
        <v>4</v>
      </c>
      <c r="F40" s="146" t="s">
        <v>107</v>
      </c>
      <c r="G40" s="146" t="s">
        <v>108</v>
      </c>
      <c r="H40" s="146"/>
      <c r="I40" s="146"/>
      <c r="J40" s="137" t="str">
        <f t="shared" si="5"/>
        <v/>
      </c>
    </row>
    <row r="41" customHeight="1" spans="2:10">
      <c r="B41" s="125"/>
      <c r="C41" s="126"/>
      <c r="D41" s="131"/>
      <c r="E41" s="137">
        <f>COUNTIF(F$36:F41,J$35)</f>
        <v>4</v>
      </c>
      <c r="F41" s="146" t="s">
        <v>107</v>
      </c>
      <c r="G41" s="146" t="s">
        <v>109</v>
      </c>
      <c r="H41" s="146"/>
      <c r="I41" s="146"/>
      <c r="J41" s="137" t="str">
        <f>IFERROR(VLOOKUP(ROW(#REF!),$F$80:$H$90,3,0),"")</f>
        <v/>
      </c>
    </row>
    <row r="42" customHeight="1" spans="2:10">
      <c r="B42" s="125"/>
      <c r="C42" s="126"/>
      <c r="D42" s="131"/>
      <c r="E42" s="137">
        <f>COUNTIF(F$36:F42,J$35)</f>
        <v>4</v>
      </c>
      <c r="F42" s="146" t="s">
        <v>107</v>
      </c>
      <c r="G42" s="146" t="s">
        <v>110</v>
      </c>
      <c r="H42" s="146"/>
      <c r="I42" s="146"/>
      <c r="J42" s="137" t="str">
        <f t="shared" ref="J42:J45" si="6">IFERROR(VLOOKUP(ROW(E4),$F$80:$H$90,3,0),"")</f>
        <v/>
      </c>
    </row>
    <row r="43" customHeight="1" spans="2:10">
      <c r="B43" s="125"/>
      <c r="C43" s="126"/>
      <c r="D43" s="131"/>
      <c r="E43" s="137">
        <f>COUNTIF(F$36:F43,J$35)</f>
        <v>4</v>
      </c>
      <c r="F43" s="146" t="s">
        <v>111</v>
      </c>
      <c r="G43" s="146" t="s">
        <v>112</v>
      </c>
      <c r="H43" s="146"/>
      <c r="I43" s="146"/>
      <c r="J43" s="137" t="str">
        <f t="shared" si="6"/>
        <v/>
      </c>
    </row>
    <row r="44" customHeight="1" spans="2:10">
      <c r="B44" s="125"/>
      <c r="C44" s="126"/>
      <c r="D44" s="131"/>
      <c r="E44" s="137">
        <f>COUNTIF(F$36:F44,J$35)</f>
        <v>4</v>
      </c>
      <c r="F44" s="146" t="s">
        <v>111</v>
      </c>
      <c r="G44" s="146" t="s">
        <v>113</v>
      </c>
      <c r="H44" s="146"/>
      <c r="I44" s="146"/>
      <c r="J44" s="137" t="str">
        <f t="shared" si="6"/>
        <v/>
      </c>
    </row>
    <row r="45" customHeight="1" spans="2:10">
      <c r="B45" s="125"/>
      <c r="C45" s="126"/>
      <c r="D45" s="131"/>
      <c r="E45" s="137">
        <f>COUNTIF(F$36:F45,J$35)</f>
        <v>4</v>
      </c>
      <c r="F45" s="146" t="s">
        <v>111</v>
      </c>
      <c r="G45" s="146" t="s">
        <v>114</v>
      </c>
      <c r="H45" s="146"/>
      <c r="I45" s="146"/>
      <c r="J45" s="137" t="str">
        <f t="shared" si="6"/>
        <v/>
      </c>
    </row>
    <row r="46" customHeight="1" spans="2:10">
      <c r="B46" s="125" t="s">
        <v>115</v>
      </c>
      <c r="C46" s="130" t="s">
        <v>116</v>
      </c>
      <c r="D46" s="131"/>
      <c r="E46" s="131"/>
      <c r="F46" s="147"/>
      <c r="G46" s="146" t="b">
        <f ca="1">AND(($F46-TODAY())&lt;7,($F46-TODAY())&gt;0)</f>
        <v>0</v>
      </c>
      <c r="H46" s="131" t="s">
        <v>117</v>
      </c>
      <c r="I46" s="131"/>
      <c r="J46" s="131"/>
    </row>
    <row r="47" customHeight="1" spans="2:10">
      <c r="B47" s="125"/>
      <c r="C47" s="130"/>
      <c r="D47" s="131"/>
      <c r="E47" s="131" t="s">
        <v>102</v>
      </c>
      <c r="F47" s="147"/>
      <c r="G47" s="148" t="str">
        <f ca="1" t="shared" ref="G47:G49" si="7">IF(F47&lt;TODAY(),"试用期已过",IF(F47=TODAY(),"试用期到期","试用期还有"&amp;F47-TODAY()&amp;"天结束"))</f>
        <v>试用期已过</v>
      </c>
      <c r="H47" s="148"/>
      <c r="I47" s="148"/>
      <c r="J47" s="148"/>
    </row>
    <row r="48" customHeight="1" spans="2:10">
      <c r="B48" s="125"/>
      <c r="C48" s="130"/>
      <c r="D48" s="131"/>
      <c r="E48" s="131" t="s">
        <v>118</v>
      </c>
      <c r="F48" s="147"/>
      <c r="G48" s="148" t="str">
        <f ca="1" t="shared" si="7"/>
        <v>试用期已过</v>
      </c>
      <c r="H48" s="148"/>
      <c r="I48" s="148"/>
      <c r="J48" s="148"/>
    </row>
    <row r="49" customHeight="1" spans="2:10">
      <c r="B49" s="125"/>
      <c r="C49" s="130"/>
      <c r="D49" s="131"/>
      <c r="E49" s="131" t="s">
        <v>119</v>
      </c>
      <c r="F49" s="147"/>
      <c r="G49" s="148" t="str">
        <f ca="1" t="shared" si="7"/>
        <v>试用期已过</v>
      </c>
      <c r="H49" s="148"/>
      <c r="I49" s="148"/>
      <c r="J49" s="148"/>
    </row>
    <row r="50" customHeight="1" spans="2:10">
      <c r="B50" s="125" t="s">
        <v>120</v>
      </c>
      <c r="C50" s="126"/>
      <c r="D50" s="131" t="s">
        <v>121</v>
      </c>
      <c r="E50" s="131" t="s">
        <v>122</v>
      </c>
      <c r="F50" s="131" t="s">
        <v>123</v>
      </c>
      <c r="G50" s="131" t="s">
        <v>124</v>
      </c>
      <c r="H50" s="131" t="s">
        <v>125</v>
      </c>
      <c r="I50" s="131" t="s">
        <v>126</v>
      </c>
      <c r="J50" s="131" t="s">
        <v>123</v>
      </c>
    </row>
    <row r="51" customHeight="1" spans="2:10">
      <c r="B51" s="125" t="s">
        <v>122</v>
      </c>
      <c r="C51" s="126" t="s">
        <v>127</v>
      </c>
      <c r="D51" s="140">
        <v>300000</v>
      </c>
      <c r="E51" s="149">
        <f t="shared" ref="E51:E58" si="8">PI()*$D51/$D$58</f>
        <v>0.523598775598299</v>
      </c>
      <c r="F51" s="149">
        <f>IF($D51&lt;=$D$57,SIN(PI()*(LEFT($D51,LEN($D51)-4)+MID($D51,LEN($D51)-3,2)/60+RIGHT($D51,2)/3600)/180),IF($D51&gt;$D$57,SIN(PI()*(LEFT($D$58-$D51,LEN($D$58-$D51)-4)+MID($D$58-$D51,LEN($D$58-$D51)-3,2)/60+RIGHT($D$58-$D51,2)/3600)/180),0))</f>
        <v>0.5</v>
      </c>
      <c r="G51" s="149">
        <f t="shared" ref="G51:G56" si="9">IF($D51&lt;=$D$57,COS(PI()*(LEFT($D51,LEN($D51)-4)+MID($D51,LEN($D51)-3,2)/60+RIGHT($D51,2)/3600)/180),IF($D51&gt;$D$57,COS(PI()*(LEFT($D$58-$D51,LEN($D$58-$D51)-4)+MID($D$58-$D51,LEN($D$58-$D51)-3,2)/60+RIGHT($D$58-$D51,2)/3600)/180),0))</f>
        <v>0.866025403784439</v>
      </c>
      <c r="H51" s="149">
        <f t="shared" ref="H51:H56" si="10">IF($D51&lt;=$D$57,TAN(PI()*(LEFT($D51,LEN($D51)-4)+MID($D51,LEN($D51)-3,2)/60+RIGHT($D51,2)/3600)/180),IF($D51&gt;$D$57,TAN(PI()*(LEFT($D$58-$D51,LEN($D$58-$D51)-4)+MID($D$58-$D51,LEN($D$58-$D51)-3,2)/60+RIGHT($D$58-$D51,2)/3600)/180),0))</f>
        <v>0.577350269189626</v>
      </c>
      <c r="I51" s="149">
        <f t="shared" ref="I51:I56" si="11">IF($D51&lt;=$D$57,1/TAN(PI()*(LEFT($D51,LEN($D51)-4)+MID($D51,LEN($D51)-3,2)/60+RIGHT($D51,2)/3600)/180),IF($D51&gt;$D$57,1/TAN(PI()*(LEFT($D$58-$D51,LEN($D$58-$D51)-4)+MID($D$58-$D51,LEN($D$58-$D51)-3,2)/60+RIGHT($D$58-$D51,2)/3600)/180),0))</f>
        <v>1.73205080756888</v>
      </c>
      <c r="J51" s="149">
        <f t="shared" ref="J51:J52" si="12">1/TAN(E51)</f>
        <v>1.73205080756888</v>
      </c>
    </row>
    <row r="52" customHeight="1" spans="2:10">
      <c r="B52" s="125"/>
      <c r="C52" s="126" t="s">
        <v>128</v>
      </c>
      <c r="D52" s="140">
        <v>450000</v>
      </c>
      <c r="E52" s="149">
        <f t="shared" si="8"/>
        <v>0.785398163397448</v>
      </c>
      <c r="F52" s="149">
        <f t="shared" ref="F52:F56" si="13">IF($D52&lt;=$D$57,SIN(PI()*(LEFT($D52,LEN($D52)-4)+MID($D52,LEN(D52)-3,2)/60+RIGHT($D52,2)/3600)/180),IF($D52&gt;$D$57,SIN(PI()*(LEFT($D$58-$D52,LEN($D$58-$D52)-4)+MID($D$58-$D52,LEN($D$58-$D52)-3,2)/60+RIGHT($D$58-$D52,2)/3600)/180),0))</f>
        <v>0.707106781186547</v>
      </c>
      <c r="G52" s="149">
        <f t="shared" si="9"/>
        <v>0.707106781186548</v>
      </c>
      <c r="H52" s="149">
        <f t="shared" si="10"/>
        <v>1</v>
      </c>
      <c r="I52" s="149">
        <f t="shared" si="11"/>
        <v>1</v>
      </c>
      <c r="J52" s="149">
        <f t="shared" si="12"/>
        <v>1</v>
      </c>
    </row>
    <row r="53" customHeight="1" spans="2:10">
      <c r="B53" s="125"/>
      <c r="C53" s="126" t="s">
        <v>129</v>
      </c>
      <c r="D53" s="140">
        <v>600000</v>
      </c>
      <c r="E53" s="149">
        <f t="shared" si="8"/>
        <v>1.0471975511966</v>
      </c>
      <c r="F53" s="149">
        <f t="shared" si="13"/>
        <v>0.866025403784439</v>
      </c>
      <c r="G53" s="149">
        <f t="shared" si="9"/>
        <v>0.5</v>
      </c>
      <c r="H53" s="149">
        <f t="shared" si="10"/>
        <v>1.73205080756888</v>
      </c>
      <c r="I53" s="149">
        <f t="shared" si="11"/>
        <v>0.577350269189626</v>
      </c>
      <c r="J53" s="149">
        <f t="shared" ref="J53:J56" si="14">SIN(E53)</f>
        <v>0.866025403784439</v>
      </c>
    </row>
    <row r="54" customHeight="1" spans="2:10">
      <c r="B54" s="125"/>
      <c r="C54" s="126" t="s">
        <v>130</v>
      </c>
      <c r="D54" s="140">
        <v>1200000</v>
      </c>
      <c r="E54" s="149">
        <f t="shared" si="8"/>
        <v>2.0943951023932</v>
      </c>
      <c r="F54" s="149">
        <f t="shared" si="13"/>
        <v>0.866025403784439</v>
      </c>
      <c r="G54" s="149">
        <f t="shared" si="9"/>
        <v>0.5</v>
      </c>
      <c r="H54" s="149">
        <f t="shared" si="10"/>
        <v>1.73205080756888</v>
      </c>
      <c r="I54" s="149">
        <f t="shared" si="11"/>
        <v>0.577350269189626</v>
      </c>
      <c r="J54" s="149">
        <f t="shared" si="14"/>
        <v>0.866025403784439</v>
      </c>
    </row>
    <row r="55" customHeight="1" spans="2:10">
      <c r="B55" s="125" t="s">
        <v>121</v>
      </c>
      <c r="C55" s="141" t="s">
        <v>131</v>
      </c>
      <c r="D55" s="140">
        <v>1350000</v>
      </c>
      <c r="E55" s="149">
        <f t="shared" si="8"/>
        <v>2.35619449019234</v>
      </c>
      <c r="F55" s="149">
        <f t="shared" si="13"/>
        <v>0.707106781186547</v>
      </c>
      <c r="G55" s="149">
        <f t="shared" si="9"/>
        <v>0.707106781186548</v>
      </c>
      <c r="H55" s="149">
        <f t="shared" si="10"/>
        <v>1</v>
      </c>
      <c r="I55" s="149">
        <f t="shared" si="11"/>
        <v>1</v>
      </c>
      <c r="J55" s="149">
        <f t="shared" si="14"/>
        <v>0.707106781186548</v>
      </c>
    </row>
    <row r="56" customHeight="1" spans="2:10">
      <c r="B56" s="125"/>
      <c r="C56" s="141" t="s">
        <v>132</v>
      </c>
      <c r="D56" s="140">
        <v>1500000</v>
      </c>
      <c r="E56" s="149">
        <f t="shared" si="8"/>
        <v>2.61799387799149</v>
      </c>
      <c r="F56" s="149">
        <f t="shared" si="13"/>
        <v>0.5</v>
      </c>
      <c r="G56" s="149">
        <f t="shared" si="9"/>
        <v>0.866025403784439</v>
      </c>
      <c r="H56" s="149">
        <f t="shared" si="10"/>
        <v>0.577350269189626</v>
      </c>
      <c r="I56" s="149">
        <f t="shared" si="11"/>
        <v>1.73205080756888</v>
      </c>
      <c r="J56" s="149">
        <f t="shared" si="14"/>
        <v>0.5</v>
      </c>
    </row>
    <row r="57" customHeight="1" spans="2:10">
      <c r="B57" s="125"/>
      <c r="C57" s="141" t="s">
        <v>133</v>
      </c>
      <c r="D57" s="140">
        <v>900000</v>
      </c>
      <c r="E57" s="149">
        <f t="shared" si="8"/>
        <v>1.5707963267949</v>
      </c>
      <c r="F57" s="150"/>
      <c r="G57" s="150"/>
      <c r="H57" s="150"/>
      <c r="I57" s="150"/>
      <c r="J57" s="150"/>
    </row>
    <row r="58" customHeight="1" spans="2:10">
      <c r="B58" s="125"/>
      <c r="C58" s="141" t="s">
        <v>134</v>
      </c>
      <c r="D58" s="140">
        <v>1800000</v>
      </c>
      <c r="E58" s="149">
        <f t="shared" si="8"/>
        <v>3.14159265358979</v>
      </c>
      <c r="F58" s="150"/>
      <c r="G58" s="150"/>
      <c r="H58" s="150"/>
      <c r="I58" s="150"/>
      <c r="J58" s="150"/>
    </row>
    <row r="59" customHeight="1" spans="2:10">
      <c r="B59" s="54"/>
      <c r="C59" s="142"/>
      <c r="D59" s="54"/>
      <c r="E59" s="54"/>
      <c r="F59" s="54"/>
      <c r="G59" s="54"/>
      <c r="H59" s="54"/>
      <c r="I59" s="54"/>
      <c r="J59" s="54"/>
    </row>
    <row r="60" ht="30" customHeight="1" spans="2:10">
      <c r="B60" s="46" t="s">
        <v>135</v>
      </c>
      <c r="C60" s="46"/>
      <c r="D60" s="46"/>
      <c r="E60" s="46"/>
      <c r="F60" s="46"/>
      <c r="G60" s="46"/>
      <c r="H60" s="46"/>
      <c r="I60" s="46"/>
      <c r="J60" s="46"/>
    </row>
    <row r="62" customHeight="1" spans="2:14">
      <c r="B62" s="143" t="s">
        <v>136</v>
      </c>
      <c r="C62" s="143" t="s">
        <v>137</v>
      </c>
      <c r="D62" s="143" t="s">
        <v>138</v>
      </c>
      <c r="E62" s="143" t="s">
        <v>139</v>
      </c>
      <c r="F62" s="143" t="s">
        <v>140</v>
      </c>
      <c r="G62" s="143" t="s">
        <v>141</v>
      </c>
      <c r="H62" s="10"/>
      <c r="I62" s="10"/>
      <c r="J62" s="10"/>
      <c r="L62" s="151"/>
      <c r="M62" s="151"/>
      <c r="N62" s="151"/>
    </row>
    <row r="63" customHeight="1" spans="2:14">
      <c r="B63" s="143" t="s">
        <v>142</v>
      </c>
      <c r="C63" s="143" t="s">
        <v>143</v>
      </c>
      <c r="D63" s="143" t="s">
        <v>144</v>
      </c>
      <c r="E63" s="143" t="s">
        <v>145</v>
      </c>
      <c r="F63" s="143" t="s">
        <v>146</v>
      </c>
      <c r="G63" s="143" t="s">
        <v>147</v>
      </c>
      <c r="H63" s="10"/>
      <c r="I63" s="10"/>
      <c r="J63" s="10"/>
      <c r="L63" s="152"/>
      <c r="M63" s="152"/>
      <c r="N63" s="152"/>
    </row>
    <row r="64" customHeight="1" spans="2:7">
      <c r="B64" s="143" t="s">
        <v>148</v>
      </c>
      <c r="C64" s="143" t="s">
        <v>149</v>
      </c>
      <c r="D64" s="143" t="s">
        <v>150</v>
      </c>
      <c r="E64" s="143" t="s">
        <v>151</v>
      </c>
      <c r="F64" s="143" t="s">
        <v>152</v>
      </c>
      <c r="G64" s="143" t="s">
        <v>153</v>
      </c>
    </row>
    <row r="65" customHeight="1" spans="2:7">
      <c r="B65" s="143" t="s">
        <v>154</v>
      </c>
      <c r="C65" s="143" t="s">
        <v>155</v>
      </c>
      <c r="D65" s="143" t="s">
        <v>156</v>
      </c>
      <c r="E65" s="143" t="s">
        <v>157</v>
      </c>
      <c r="F65" s="143" t="s">
        <v>158</v>
      </c>
      <c r="G65" s="143" t="s">
        <v>159</v>
      </c>
    </row>
    <row r="66" customHeight="1" spans="2:7">
      <c r="B66" s="143" t="s">
        <v>160</v>
      </c>
      <c r="C66" s="143" t="s">
        <v>161</v>
      </c>
      <c r="D66" s="143" t="s">
        <v>162</v>
      </c>
      <c r="E66" s="143" t="s">
        <v>163</v>
      </c>
      <c r="F66" s="143" t="s">
        <v>164</v>
      </c>
      <c r="G66" s="143" t="s">
        <v>165</v>
      </c>
    </row>
    <row r="67" customHeight="1" spans="2:7">
      <c r="B67" s="143" t="s">
        <v>166</v>
      </c>
      <c r="C67" s="143" t="s">
        <v>167</v>
      </c>
      <c r="D67" s="143" t="s">
        <v>168</v>
      </c>
      <c r="E67" s="143" t="s">
        <v>169</v>
      </c>
      <c r="F67" s="143" t="s">
        <v>170</v>
      </c>
      <c r="G67" s="143" t="s">
        <v>171</v>
      </c>
    </row>
    <row r="68" customHeight="1" spans="2:7">
      <c r="B68" s="143" t="s">
        <v>172</v>
      </c>
      <c r="C68" s="143" t="s">
        <v>173</v>
      </c>
      <c r="D68" s="143" t="s">
        <v>174</v>
      </c>
      <c r="E68" s="143" t="s">
        <v>175</v>
      </c>
      <c r="F68" s="143" t="s">
        <v>176</v>
      </c>
      <c r="G68" s="143" t="s">
        <v>177</v>
      </c>
    </row>
    <row r="69" customHeight="1" spans="2:7">
      <c r="B69" s="143" t="s">
        <v>178</v>
      </c>
      <c r="C69" s="143" t="s">
        <v>179</v>
      </c>
      <c r="D69" s="143" t="s">
        <v>180</v>
      </c>
      <c r="E69" s="143" t="s">
        <v>181</v>
      </c>
      <c r="F69" s="143" t="s">
        <v>182</v>
      </c>
      <c r="G69" s="143" t="s">
        <v>183</v>
      </c>
    </row>
    <row r="70" customHeight="1" spans="2:7">
      <c r="B70" s="143" t="s">
        <v>184</v>
      </c>
      <c r="C70" s="143" t="s">
        <v>185</v>
      </c>
      <c r="D70" s="143" t="s">
        <v>186</v>
      </c>
      <c r="E70" s="143" t="s">
        <v>187</v>
      </c>
      <c r="F70" s="143" t="s">
        <v>188</v>
      </c>
      <c r="G70" s="143" t="s">
        <v>189</v>
      </c>
    </row>
    <row r="71" customHeight="1" spans="2:7">
      <c r="B71" s="143" t="s">
        <v>190</v>
      </c>
      <c r="C71" s="143" t="s">
        <v>191</v>
      </c>
      <c r="D71" s="143" t="s">
        <v>192</v>
      </c>
      <c r="E71" s="143" t="s">
        <v>193</v>
      </c>
      <c r="F71" s="143" t="s">
        <v>194</v>
      </c>
      <c r="G71" s="143" t="s">
        <v>195</v>
      </c>
    </row>
    <row r="72" customHeight="1" spans="2:7">
      <c r="B72" s="143" t="s">
        <v>196</v>
      </c>
      <c r="C72" s="143" t="s">
        <v>197</v>
      </c>
      <c r="D72" s="143" t="s">
        <v>198</v>
      </c>
      <c r="E72" s="143" t="s">
        <v>199</v>
      </c>
      <c r="F72" s="143" t="s">
        <v>200</v>
      </c>
      <c r="G72" s="143" t="s">
        <v>201</v>
      </c>
    </row>
    <row r="73" customHeight="1" spans="2:7">
      <c r="B73" s="143" t="s">
        <v>202</v>
      </c>
      <c r="C73" s="143" t="s">
        <v>203</v>
      </c>
      <c r="D73" s="143" t="s">
        <v>204</v>
      </c>
      <c r="E73" s="143" t="b">
        <v>1</v>
      </c>
      <c r="F73" s="143" t="b">
        <v>0</v>
      </c>
      <c r="G73" s="143" t="s">
        <v>205</v>
      </c>
    </row>
    <row r="74" customHeight="1" spans="2:7">
      <c r="B74" s="143" t="s">
        <v>206</v>
      </c>
      <c r="C74" s="143" t="s">
        <v>207</v>
      </c>
      <c r="D74" s="143" t="s">
        <v>208</v>
      </c>
      <c r="E74" s="143" t="s">
        <v>209</v>
      </c>
      <c r="F74" s="143" t="s">
        <v>210</v>
      </c>
      <c r="G74" s="143" t="s">
        <v>211</v>
      </c>
    </row>
    <row r="75" customHeight="1" spans="2:7">
      <c r="B75" s="143" t="s">
        <v>212</v>
      </c>
      <c r="C75" s="143" t="s">
        <v>213</v>
      </c>
      <c r="D75" s="143" t="s">
        <v>214</v>
      </c>
      <c r="E75" s="143" t="s">
        <v>215</v>
      </c>
      <c r="F75" s="143" t="s">
        <v>216</v>
      </c>
      <c r="G75" s="143" t="s">
        <v>217</v>
      </c>
    </row>
    <row r="76" customHeight="1" spans="2:7">
      <c r="B76" s="143" t="s">
        <v>218</v>
      </c>
      <c r="C76" s="143" t="s">
        <v>219</v>
      </c>
      <c r="D76" s="143" t="s">
        <v>220</v>
      </c>
      <c r="E76" s="143" t="s">
        <v>221</v>
      </c>
      <c r="F76" s="143" t="s">
        <v>222</v>
      </c>
      <c r="G76" s="143" t="s">
        <v>223</v>
      </c>
    </row>
    <row r="77" customHeight="1" spans="2:7">
      <c r="B77" s="143" t="s">
        <v>224</v>
      </c>
      <c r="C77" s="143" t="s">
        <v>225</v>
      </c>
      <c r="D77" s="143" t="s">
        <v>226</v>
      </c>
      <c r="E77" s="143" t="s">
        <v>227</v>
      </c>
      <c r="F77" s="143" t="s">
        <v>228</v>
      </c>
      <c r="G77" s="143" t="s">
        <v>229</v>
      </c>
    </row>
    <row r="78" customHeight="1" spans="2:7">
      <c r="B78" s="143" t="s">
        <v>230</v>
      </c>
      <c r="C78" s="143" t="s">
        <v>231</v>
      </c>
      <c r="D78" s="143" t="s">
        <v>232</v>
      </c>
      <c r="E78" s="143" t="s">
        <v>233</v>
      </c>
      <c r="F78" s="143" t="s">
        <v>234</v>
      </c>
      <c r="G78" s="143" t="s">
        <v>235</v>
      </c>
    </row>
    <row r="79" customHeight="1" spans="2:7">
      <c r="B79" s="143" t="s">
        <v>236</v>
      </c>
      <c r="C79" s="143" t="s">
        <v>237</v>
      </c>
      <c r="D79" s="143" t="s">
        <v>238</v>
      </c>
      <c r="E79" s="143" t="s">
        <v>239</v>
      </c>
      <c r="F79" s="143" t="s">
        <v>240</v>
      </c>
      <c r="G79" s="143" t="s">
        <v>241</v>
      </c>
    </row>
    <row r="80" customHeight="1" spans="2:7">
      <c r="B80" s="143" t="s">
        <v>242</v>
      </c>
      <c r="C80" s="143" t="s">
        <v>243</v>
      </c>
      <c r="D80" s="143" t="s">
        <v>244</v>
      </c>
      <c r="E80" s="143" t="s">
        <v>245</v>
      </c>
      <c r="F80" s="143" t="s">
        <v>246</v>
      </c>
      <c r="G80" s="143" t="s">
        <v>247</v>
      </c>
    </row>
    <row r="81" customHeight="1" spans="2:7">
      <c r="B81" s="143" t="s">
        <v>248</v>
      </c>
      <c r="C81" s="143" t="s">
        <v>249</v>
      </c>
      <c r="D81" s="143" t="s">
        <v>250</v>
      </c>
      <c r="E81" s="143" t="s">
        <v>251</v>
      </c>
      <c r="F81" s="143" t="s">
        <v>252</v>
      </c>
      <c r="G81" s="143" t="s">
        <v>253</v>
      </c>
    </row>
    <row r="82" customHeight="1" spans="2:7">
      <c r="B82" s="143" t="s">
        <v>254</v>
      </c>
      <c r="C82" s="143" t="s">
        <v>255</v>
      </c>
      <c r="D82" s="143" t="s">
        <v>256</v>
      </c>
      <c r="E82" s="143" t="s">
        <v>257</v>
      </c>
      <c r="F82" s="143" t="s">
        <v>258</v>
      </c>
      <c r="G82" s="143" t="s">
        <v>259</v>
      </c>
    </row>
    <row r="83" customHeight="1" spans="2:7">
      <c r="B83" s="143" t="s">
        <v>260</v>
      </c>
      <c r="C83" s="143" t="s">
        <v>261</v>
      </c>
      <c r="D83" s="143" t="s">
        <v>262</v>
      </c>
      <c r="E83" s="143" t="s">
        <v>263</v>
      </c>
      <c r="F83" s="143" t="s">
        <v>264</v>
      </c>
      <c r="G83" s="143" t="s">
        <v>265</v>
      </c>
    </row>
    <row r="84" customHeight="1" spans="2:7">
      <c r="B84" s="143" t="s">
        <v>266</v>
      </c>
      <c r="C84" s="143" t="s">
        <v>267</v>
      </c>
      <c r="D84" s="143" t="s">
        <v>268</v>
      </c>
      <c r="E84" s="143" t="s">
        <v>269</v>
      </c>
      <c r="F84" s="143" t="s">
        <v>270</v>
      </c>
      <c r="G84" s="143" t="s">
        <v>271</v>
      </c>
    </row>
    <row r="85" customHeight="1" spans="2:7">
      <c r="B85" s="143" t="s">
        <v>272</v>
      </c>
      <c r="C85" s="143" t="s">
        <v>273</v>
      </c>
      <c r="D85" s="143" t="s">
        <v>274</v>
      </c>
      <c r="E85" s="143" t="s">
        <v>275</v>
      </c>
      <c r="F85" s="143" t="s">
        <v>276</v>
      </c>
      <c r="G85" s="143" t="s">
        <v>277</v>
      </c>
    </row>
    <row r="86" customHeight="1" spans="2:7">
      <c r="B86" s="143" t="s">
        <v>278</v>
      </c>
      <c r="C86" s="143" t="s">
        <v>279</v>
      </c>
      <c r="D86" s="143" t="s">
        <v>280</v>
      </c>
      <c r="E86" s="143" t="s">
        <v>281</v>
      </c>
      <c r="F86" s="143" t="s">
        <v>282</v>
      </c>
      <c r="G86" s="143" t="s">
        <v>283</v>
      </c>
    </row>
    <row r="87" customHeight="1" spans="2:7">
      <c r="B87" s="143" t="s">
        <v>284</v>
      </c>
      <c r="C87" s="143" t="s">
        <v>285</v>
      </c>
      <c r="D87" s="143" t="s">
        <v>286</v>
      </c>
      <c r="E87" s="143" t="s">
        <v>287</v>
      </c>
      <c r="F87" s="143" t="s">
        <v>288</v>
      </c>
      <c r="G87" s="143" t="s">
        <v>289</v>
      </c>
    </row>
    <row r="88" customHeight="1" spans="2:7">
      <c r="B88" s="143" t="s">
        <v>290</v>
      </c>
      <c r="C88" s="143" t="s">
        <v>291</v>
      </c>
      <c r="D88" s="143" t="s">
        <v>292</v>
      </c>
      <c r="E88" s="143" t="s">
        <v>293</v>
      </c>
      <c r="F88" s="143" t="s">
        <v>294</v>
      </c>
      <c r="G88" s="143" t="s">
        <v>295</v>
      </c>
    </row>
    <row r="89" customHeight="1" spans="2:7">
      <c r="B89" s="143" t="s">
        <v>296</v>
      </c>
      <c r="C89" s="143" t="s">
        <v>297</v>
      </c>
      <c r="D89" s="143" t="s">
        <v>298</v>
      </c>
      <c r="E89" s="143" t="s">
        <v>299</v>
      </c>
      <c r="F89" s="143" t="s">
        <v>300</v>
      </c>
      <c r="G89" s="143" t="s">
        <v>301</v>
      </c>
    </row>
    <row r="90" customHeight="1" spans="2:7">
      <c r="B90" s="143" t="s">
        <v>302</v>
      </c>
      <c r="C90" s="143" t="s">
        <v>303</v>
      </c>
      <c r="D90" s="143" t="s">
        <v>304</v>
      </c>
      <c r="E90" s="143" t="s">
        <v>305</v>
      </c>
      <c r="F90" s="143" t="s">
        <v>306</v>
      </c>
      <c r="G90" s="143" t="s">
        <v>307</v>
      </c>
    </row>
    <row r="91" customHeight="1" spans="2:7">
      <c r="B91" s="143" t="s">
        <v>308</v>
      </c>
      <c r="C91" s="143" t="s">
        <v>309</v>
      </c>
      <c r="D91" s="143" t="s">
        <v>310</v>
      </c>
      <c r="E91" s="143" t="s">
        <v>311</v>
      </c>
      <c r="F91" s="143" t="s">
        <v>312</v>
      </c>
      <c r="G91" s="143" t="s">
        <v>313</v>
      </c>
    </row>
    <row r="92" customHeight="1" spans="2:7">
      <c r="B92" s="143" t="s">
        <v>314</v>
      </c>
      <c r="C92" s="143" t="s">
        <v>315</v>
      </c>
      <c r="D92" s="143" t="s">
        <v>316</v>
      </c>
      <c r="E92" s="143" t="s">
        <v>317</v>
      </c>
      <c r="F92" s="143" t="s">
        <v>318</v>
      </c>
      <c r="G92" s="143" t="s">
        <v>319</v>
      </c>
    </row>
    <row r="93" customHeight="1" spans="2:7">
      <c r="B93" s="143" t="s">
        <v>320</v>
      </c>
      <c r="C93" s="143" t="s">
        <v>321</v>
      </c>
      <c r="D93" s="143" t="s">
        <v>322</v>
      </c>
      <c r="E93" s="143" t="s">
        <v>323</v>
      </c>
      <c r="F93" s="143" t="s">
        <v>324</v>
      </c>
      <c r="G93" s="143" t="s">
        <v>325</v>
      </c>
    </row>
    <row r="94" customHeight="1" spans="2:7">
      <c r="B94" s="143" t="s">
        <v>326</v>
      </c>
      <c r="C94" s="143" t="s">
        <v>327</v>
      </c>
      <c r="D94" s="143" t="s">
        <v>328</v>
      </c>
      <c r="E94" s="143" t="s">
        <v>329</v>
      </c>
      <c r="F94" s="143" t="s">
        <v>330</v>
      </c>
      <c r="G94" s="143" t="s">
        <v>331</v>
      </c>
    </row>
    <row r="95" customHeight="1" spans="2:7">
      <c r="B95" s="143" t="s">
        <v>332</v>
      </c>
      <c r="C95" s="143" t="s">
        <v>333</v>
      </c>
      <c r="D95" s="143" t="s">
        <v>334</v>
      </c>
      <c r="E95" s="143" t="s">
        <v>335</v>
      </c>
      <c r="F95" s="143" t="s">
        <v>336</v>
      </c>
      <c r="G95" s="143" t="s">
        <v>337</v>
      </c>
    </row>
    <row r="96" customHeight="1" spans="2:7">
      <c r="B96" s="143" t="s">
        <v>338</v>
      </c>
      <c r="C96" s="143" t="s">
        <v>339</v>
      </c>
      <c r="D96" s="143" t="s">
        <v>340</v>
      </c>
      <c r="E96" s="143" t="s">
        <v>341</v>
      </c>
      <c r="F96" s="143" t="s">
        <v>342</v>
      </c>
      <c r="G96" s="143" t="s">
        <v>343</v>
      </c>
    </row>
    <row r="97" customHeight="1" spans="2:7">
      <c r="B97" s="143" t="s">
        <v>344</v>
      </c>
      <c r="C97" s="143" t="s">
        <v>345</v>
      </c>
      <c r="D97" s="143" t="s">
        <v>346</v>
      </c>
      <c r="E97" s="143" t="s">
        <v>347</v>
      </c>
      <c r="F97" s="143" t="s">
        <v>348</v>
      </c>
      <c r="G97" s="143" t="s">
        <v>349</v>
      </c>
    </row>
    <row r="98" customHeight="1" spans="2:7">
      <c r="B98" s="143" t="s">
        <v>350</v>
      </c>
      <c r="C98" s="143" t="s">
        <v>351</v>
      </c>
      <c r="D98" s="143" t="s">
        <v>352</v>
      </c>
      <c r="E98" s="143" t="s">
        <v>353</v>
      </c>
      <c r="F98" s="143" t="s">
        <v>354</v>
      </c>
      <c r="G98" s="143" t="s">
        <v>355</v>
      </c>
    </row>
    <row r="99" customHeight="1" spans="2:7">
      <c r="B99" s="143" t="s">
        <v>356</v>
      </c>
      <c r="C99" s="143" t="s">
        <v>357</v>
      </c>
      <c r="D99" s="143" t="s">
        <v>358</v>
      </c>
      <c r="E99" s="143" t="s">
        <v>359</v>
      </c>
      <c r="F99" s="143" t="s">
        <v>360</v>
      </c>
      <c r="G99" s="143" t="s">
        <v>361</v>
      </c>
    </row>
    <row r="100" customHeight="1" spans="2:7">
      <c r="B100" s="143" t="s">
        <v>362</v>
      </c>
      <c r="C100" s="143" t="s">
        <v>363</v>
      </c>
      <c r="D100" s="143" t="s">
        <v>364</v>
      </c>
      <c r="E100" s="143" t="s">
        <v>365</v>
      </c>
      <c r="F100" s="143" t="s">
        <v>366</v>
      </c>
      <c r="G100" s="143" t="s">
        <v>367</v>
      </c>
    </row>
    <row r="101" customHeight="1" spans="2:7">
      <c r="B101" s="143" t="s">
        <v>368</v>
      </c>
      <c r="C101" s="143" t="s">
        <v>369</v>
      </c>
      <c r="D101" s="143" t="s">
        <v>370</v>
      </c>
      <c r="E101" s="143" t="s">
        <v>371</v>
      </c>
      <c r="F101" s="143" t="s">
        <v>372</v>
      </c>
      <c r="G101" s="143" t="s">
        <v>373</v>
      </c>
    </row>
    <row r="102" customHeight="1" spans="2:7">
      <c r="B102" s="143" t="s">
        <v>374</v>
      </c>
      <c r="C102" s="143" t="s">
        <v>375</v>
      </c>
      <c r="D102" s="143" t="s">
        <v>376</v>
      </c>
      <c r="E102" s="143" t="s">
        <v>377</v>
      </c>
      <c r="F102" s="143" t="s">
        <v>378</v>
      </c>
      <c r="G102" s="143" t="s">
        <v>379</v>
      </c>
    </row>
    <row r="103" customHeight="1" spans="2:7">
      <c r="B103" s="143" t="s">
        <v>380</v>
      </c>
      <c r="C103" s="143" t="s">
        <v>381</v>
      </c>
      <c r="D103" s="143" t="s">
        <v>382</v>
      </c>
      <c r="E103" s="143" t="s">
        <v>383</v>
      </c>
      <c r="F103" s="143" t="s">
        <v>384</v>
      </c>
      <c r="G103" s="143" t="s">
        <v>385</v>
      </c>
    </row>
    <row r="104" customHeight="1" spans="2:7">
      <c r="B104" s="143" t="s">
        <v>386</v>
      </c>
      <c r="C104" s="143" t="s">
        <v>387</v>
      </c>
      <c r="D104" s="143" t="s">
        <v>388</v>
      </c>
      <c r="E104" s="143" t="s">
        <v>389</v>
      </c>
      <c r="F104" s="143" t="s">
        <v>390</v>
      </c>
      <c r="G104" s="143" t="s">
        <v>391</v>
      </c>
    </row>
    <row r="105" customHeight="1" spans="2:7">
      <c r="B105" s="143" t="s">
        <v>392</v>
      </c>
      <c r="C105" s="143" t="s">
        <v>393</v>
      </c>
      <c r="D105" s="143" t="s">
        <v>394</v>
      </c>
      <c r="E105" s="143" t="s">
        <v>395</v>
      </c>
      <c r="F105" s="143" t="s">
        <v>396</v>
      </c>
      <c r="G105" s="143" t="s">
        <v>397</v>
      </c>
    </row>
    <row r="106" customHeight="1" spans="2:7">
      <c r="B106" s="143" t="s">
        <v>398</v>
      </c>
      <c r="C106" s="143" t="s">
        <v>399</v>
      </c>
      <c r="D106" s="143" t="s">
        <v>400</v>
      </c>
      <c r="E106" s="143" t="s">
        <v>401</v>
      </c>
      <c r="F106" s="143" t="s">
        <v>402</v>
      </c>
      <c r="G106" s="143" t="s">
        <v>403</v>
      </c>
    </row>
    <row r="107" customHeight="1" spans="2:7">
      <c r="B107" s="143" t="s">
        <v>404</v>
      </c>
      <c r="C107" s="143" t="s">
        <v>405</v>
      </c>
      <c r="D107" s="143" t="s">
        <v>406</v>
      </c>
      <c r="E107" s="143" t="s">
        <v>407</v>
      </c>
      <c r="F107" s="143" t="s">
        <v>408</v>
      </c>
      <c r="G107" s="143" t="s">
        <v>409</v>
      </c>
    </row>
    <row r="108" customHeight="1" spans="2:7">
      <c r="B108" s="143" t="s">
        <v>410</v>
      </c>
      <c r="C108" s="143" t="s">
        <v>411</v>
      </c>
      <c r="D108" s="143" t="s">
        <v>412</v>
      </c>
      <c r="E108" s="143" t="s">
        <v>413</v>
      </c>
      <c r="F108" s="143" t="s">
        <v>414</v>
      </c>
      <c r="G108" s="143" t="s">
        <v>415</v>
      </c>
    </row>
    <row r="109" customHeight="1" spans="2:7">
      <c r="B109" s="143" t="s">
        <v>416</v>
      </c>
      <c r="C109" s="143" t="s">
        <v>417</v>
      </c>
      <c r="D109" s="143" t="s">
        <v>418</v>
      </c>
      <c r="E109" s="143" t="s">
        <v>419</v>
      </c>
      <c r="F109" s="143" t="s">
        <v>420</v>
      </c>
      <c r="G109" s="143" t="s">
        <v>421</v>
      </c>
    </row>
    <row r="110" customHeight="1" spans="2:7">
      <c r="B110" s="143" t="s">
        <v>422</v>
      </c>
      <c r="C110" s="143" t="s">
        <v>423</v>
      </c>
      <c r="D110" s="143" t="s">
        <v>424</v>
      </c>
      <c r="E110" s="143" t="s">
        <v>425</v>
      </c>
      <c r="F110" s="143" t="s">
        <v>426</v>
      </c>
      <c r="G110" s="143" t="s">
        <v>427</v>
      </c>
    </row>
    <row r="111" customHeight="1" spans="2:7">
      <c r="B111" s="143" t="s">
        <v>428</v>
      </c>
      <c r="C111" s="143" t="s">
        <v>429</v>
      </c>
      <c r="D111" s="143" t="s">
        <v>430</v>
      </c>
      <c r="E111" s="143" t="s">
        <v>431</v>
      </c>
      <c r="F111" s="143" t="s">
        <v>432</v>
      </c>
      <c r="G111" s="143" t="s">
        <v>433</v>
      </c>
    </row>
    <row r="112" customHeight="1" spans="2:7">
      <c r="B112" s="143" t="s">
        <v>434</v>
      </c>
      <c r="C112" s="143" t="s">
        <v>435</v>
      </c>
      <c r="D112" s="143" t="s">
        <v>436</v>
      </c>
      <c r="E112" s="143" t="s">
        <v>437</v>
      </c>
      <c r="F112" s="143" t="s">
        <v>438</v>
      </c>
      <c r="G112" s="143" t="s">
        <v>439</v>
      </c>
    </row>
    <row r="113" customHeight="1" spans="2:7">
      <c r="B113" s="143" t="s">
        <v>440</v>
      </c>
      <c r="C113" s="143" t="s">
        <v>441</v>
      </c>
      <c r="D113" s="143" t="s">
        <v>442</v>
      </c>
      <c r="E113" s="143" t="s">
        <v>443</v>
      </c>
      <c r="F113" s="143" t="s">
        <v>444</v>
      </c>
      <c r="G113" s="143" t="s">
        <v>445</v>
      </c>
    </row>
    <row r="114" customHeight="1" spans="2:7">
      <c r="B114" s="143" t="s">
        <v>446</v>
      </c>
      <c r="C114" s="143" t="s">
        <v>447</v>
      </c>
      <c r="D114" s="143" t="s">
        <v>448</v>
      </c>
      <c r="E114" s="143" t="s">
        <v>449</v>
      </c>
      <c r="F114" s="143" t="s">
        <v>450</v>
      </c>
      <c r="G114" s="143" t="s">
        <v>451</v>
      </c>
    </row>
    <row r="115" customHeight="1" spans="2:7">
      <c r="B115" s="143" t="s">
        <v>452</v>
      </c>
      <c r="C115" s="143" t="s">
        <v>453</v>
      </c>
      <c r="D115" s="143" t="s">
        <v>454</v>
      </c>
      <c r="E115" s="143" t="s">
        <v>455</v>
      </c>
      <c r="F115" s="143" t="s">
        <v>456</v>
      </c>
      <c r="G115" s="143" t="s">
        <v>457</v>
      </c>
    </row>
    <row r="116" customHeight="1" spans="2:7">
      <c r="B116" s="143" t="s">
        <v>458</v>
      </c>
      <c r="C116" s="143" t="s">
        <v>459</v>
      </c>
      <c r="D116" s="143" t="s">
        <v>460</v>
      </c>
      <c r="E116" s="143" t="s">
        <v>461</v>
      </c>
      <c r="F116" s="143" t="s">
        <v>462</v>
      </c>
      <c r="G116" s="143" t="s">
        <v>463</v>
      </c>
    </row>
    <row r="117" customHeight="1" spans="2:7">
      <c r="B117" s="143" t="s">
        <v>464</v>
      </c>
      <c r="C117" s="143" t="s">
        <v>465</v>
      </c>
      <c r="D117" s="143" t="s">
        <v>466</v>
      </c>
      <c r="E117" s="143" t="s">
        <v>467</v>
      </c>
      <c r="F117" s="143" t="s">
        <v>468</v>
      </c>
      <c r="G117" s="143" t="s">
        <v>469</v>
      </c>
    </row>
    <row r="118" customHeight="1" spans="2:7">
      <c r="B118" s="143" t="s">
        <v>470</v>
      </c>
      <c r="C118" s="143" t="s">
        <v>471</v>
      </c>
      <c r="D118" s="143" t="s">
        <v>472</v>
      </c>
      <c r="E118" s="143" t="s">
        <v>473</v>
      </c>
      <c r="F118" s="143" t="s">
        <v>474</v>
      </c>
      <c r="G118" s="143" t="s">
        <v>475</v>
      </c>
    </row>
    <row r="119" customHeight="1" spans="2:7">
      <c r="B119" s="143" t="s">
        <v>476</v>
      </c>
      <c r="C119" s="143" t="s">
        <v>477</v>
      </c>
      <c r="D119" s="143" t="s">
        <v>478</v>
      </c>
      <c r="E119" s="143" t="s">
        <v>479</v>
      </c>
      <c r="F119" s="143" t="s">
        <v>480</v>
      </c>
      <c r="G119" s="143" t="s">
        <v>481</v>
      </c>
    </row>
    <row r="120" customHeight="1" spans="2:7">
      <c r="B120" s="143" t="s">
        <v>482</v>
      </c>
      <c r="C120" s="143" t="s">
        <v>483</v>
      </c>
      <c r="D120" s="143" t="s">
        <v>484</v>
      </c>
      <c r="E120" s="143" t="s">
        <v>485</v>
      </c>
      <c r="F120" s="143" t="s">
        <v>486</v>
      </c>
      <c r="G120" s="143" t="s">
        <v>487</v>
      </c>
    </row>
    <row r="121" customHeight="1" spans="2:7">
      <c r="B121" s="143" t="s">
        <v>488</v>
      </c>
      <c r="C121" s="143" t="s">
        <v>489</v>
      </c>
      <c r="D121" s="143" t="s">
        <v>490</v>
      </c>
      <c r="E121" s="143" t="s">
        <v>491</v>
      </c>
      <c r="F121" s="143" t="s">
        <v>492</v>
      </c>
      <c r="G121" s="143" t="s">
        <v>493</v>
      </c>
    </row>
    <row r="122" customHeight="1" spans="2:7">
      <c r="B122" s="143" t="s">
        <v>494</v>
      </c>
      <c r="C122" s="143" t="s">
        <v>495</v>
      </c>
      <c r="D122" s="143" t="s">
        <v>496</v>
      </c>
      <c r="E122" s="143" t="s">
        <v>497</v>
      </c>
      <c r="F122" s="143" t="s">
        <v>498</v>
      </c>
      <c r="G122" s="143" t="s">
        <v>499</v>
      </c>
    </row>
    <row r="123" customHeight="1" spans="2:7">
      <c r="B123" s="143" t="s">
        <v>500</v>
      </c>
      <c r="C123" s="143" t="s">
        <v>501</v>
      </c>
      <c r="D123" s="143" t="s">
        <v>502</v>
      </c>
      <c r="E123" s="143" t="s">
        <v>503</v>
      </c>
      <c r="F123" s="143" t="s">
        <v>504</v>
      </c>
      <c r="G123" s="143" t="s">
        <v>505</v>
      </c>
    </row>
    <row r="124" customHeight="1" spans="2:7">
      <c r="B124" s="143" t="s">
        <v>506</v>
      </c>
      <c r="C124" s="143" t="s">
        <v>507</v>
      </c>
      <c r="D124" s="143" t="s">
        <v>508</v>
      </c>
      <c r="E124" s="143" t="s">
        <v>509</v>
      </c>
      <c r="F124" s="143" t="s">
        <v>510</v>
      </c>
      <c r="G124" s="143" t="s">
        <v>511</v>
      </c>
    </row>
    <row r="125" customHeight="1" spans="2:7">
      <c r="B125" s="143" t="s">
        <v>512</v>
      </c>
      <c r="C125" s="143" t="s">
        <v>513</v>
      </c>
      <c r="D125" s="143" t="s">
        <v>514</v>
      </c>
      <c r="E125" s="143" t="s">
        <v>515</v>
      </c>
      <c r="F125" s="143" t="s">
        <v>516</v>
      </c>
      <c r="G125" s="143" t="s">
        <v>517</v>
      </c>
    </row>
    <row r="126" customHeight="1" spans="2:7">
      <c r="B126" s="143" t="s">
        <v>518</v>
      </c>
      <c r="C126" s="143" t="s">
        <v>519</v>
      </c>
      <c r="D126" s="143" t="s">
        <v>520</v>
      </c>
      <c r="E126" s="143" t="s">
        <v>521</v>
      </c>
      <c r="F126" s="143" t="s">
        <v>522</v>
      </c>
      <c r="G126" s="143" t="s">
        <v>523</v>
      </c>
    </row>
    <row r="127" customHeight="1" spans="2:7">
      <c r="B127" s="143" t="s">
        <v>524</v>
      </c>
      <c r="C127" s="143" t="s">
        <v>525</v>
      </c>
      <c r="D127" s="143" t="s">
        <v>526</v>
      </c>
      <c r="E127" s="143" t="s">
        <v>527</v>
      </c>
      <c r="F127" s="143" t="s">
        <v>528</v>
      </c>
      <c r="G127" s="143" t="s">
        <v>529</v>
      </c>
    </row>
    <row r="128" customHeight="1" spans="2:7">
      <c r="B128" s="143" t="s">
        <v>530</v>
      </c>
      <c r="C128" s="143" t="s">
        <v>531</v>
      </c>
      <c r="D128" s="143" t="s">
        <v>532</v>
      </c>
      <c r="E128" s="143" t="s">
        <v>533</v>
      </c>
      <c r="F128" s="143" t="s">
        <v>534</v>
      </c>
      <c r="G128" s="143" t="s">
        <v>535</v>
      </c>
    </row>
    <row r="129" customHeight="1" spans="2:7">
      <c r="B129" s="143" t="s">
        <v>536</v>
      </c>
      <c r="C129" s="143" t="s">
        <v>537</v>
      </c>
      <c r="D129" s="143" t="s">
        <v>538</v>
      </c>
      <c r="E129" s="143" t="s">
        <v>539</v>
      </c>
      <c r="F129" s="143" t="s">
        <v>540</v>
      </c>
      <c r="G129" s="143" t="s">
        <v>541</v>
      </c>
    </row>
    <row r="130" customHeight="1" spans="2:7">
      <c r="B130" s="143" t="s">
        <v>542</v>
      </c>
      <c r="C130" s="143" t="s">
        <v>543</v>
      </c>
      <c r="D130" s="143" t="s">
        <v>544</v>
      </c>
      <c r="E130" s="143" t="s">
        <v>545</v>
      </c>
      <c r="F130" s="143" t="s">
        <v>546</v>
      </c>
      <c r="G130" s="143" t="s">
        <v>547</v>
      </c>
    </row>
    <row r="131" customHeight="1" spans="2:7">
      <c r="B131" s="143" t="s">
        <v>548</v>
      </c>
      <c r="C131" s="143" t="s">
        <v>549</v>
      </c>
      <c r="D131" s="143" t="s">
        <v>550</v>
      </c>
      <c r="E131" s="143" t="s">
        <v>551</v>
      </c>
      <c r="F131" s="143" t="s">
        <v>552</v>
      </c>
      <c r="G131" s="143" t="s">
        <v>553</v>
      </c>
    </row>
    <row r="132" customHeight="1" spans="2:7">
      <c r="B132" s="143" t="s">
        <v>554</v>
      </c>
      <c r="C132" s="143" t="s">
        <v>555</v>
      </c>
      <c r="D132" s="143" t="s">
        <v>556</v>
      </c>
      <c r="E132" s="143" t="s">
        <v>557</v>
      </c>
      <c r="F132" s="143" t="s">
        <v>558</v>
      </c>
      <c r="G132" s="143" t="s">
        <v>559</v>
      </c>
    </row>
    <row r="133" customHeight="1" spans="2:7">
      <c r="B133" s="143" t="s">
        <v>560</v>
      </c>
      <c r="C133" s="143" t="s">
        <v>561</v>
      </c>
      <c r="D133" s="143" t="s">
        <v>562</v>
      </c>
      <c r="E133" s="143" t="s">
        <v>563</v>
      </c>
      <c r="F133" s="143" t="s">
        <v>564</v>
      </c>
      <c r="G133" s="143" t="s">
        <v>565</v>
      </c>
    </row>
    <row r="134" customHeight="1" spans="2:7">
      <c r="B134" s="143" t="s">
        <v>566</v>
      </c>
      <c r="C134" s="143" t="s">
        <v>567</v>
      </c>
      <c r="D134" s="143" t="s">
        <v>568</v>
      </c>
      <c r="E134" s="143" t="s">
        <v>569</v>
      </c>
      <c r="F134" s="143" t="s">
        <v>570</v>
      </c>
      <c r="G134" s="143" t="s">
        <v>571</v>
      </c>
    </row>
    <row r="135" customHeight="1" spans="2:7">
      <c r="B135" s="143" t="s">
        <v>572</v>
      </c>
      <c r="C135" s="143" t="s">
        <v>374</v>
      </c>
      <c r="D135" s="143" t="s">
        <v>573</v>
      </c>
      <c r="E135" s="143" t="s">
        <v>574</v>
      </c>
      <c r="F135" s="143" t="s">
        <v>575</v>
      </c>
      <c r="G135" s="143" t="s">
        <v>576</v>
      </c>
    </row>
    <row r="136" customHeight="1" spans="2:7">
      <c r="B136" s="143" t="s">
        <v>577</v>
      </c>
      <c r="C136" s="143" t="s">
        <v>578</v>
      </c>
      <c r="D136" s="143" t="s">
        <v>579</v>
      </c>
      <c r="E136" s="143" t="s">
        <v>580</v>
      </c>
      <c r="F136" s="143" t="s">
        <v>581</v>
      </c>
      <c r="G136" s="143" t="s">
        <v>582</v>
      </c>
    </row>
    <row r="137" customHeight="1" spans="2:7">
      <c r="B137" s="143" t="s">
        <v>583</v>
      </c>
      <c r="C137" s="143" t="s">
        <v>584</v>
      </c>
      <c r="D137" s="143" t="s">
        <v>585</v>
      </c>
      <c r="E137" s="143" t="s">
        <v>586</v>
      </c>
      <c r="F137" s="143" t="s">
        <v>587</v>
      </c>
      <c r="G137" s="143" t="s">
        <v>588</v>
      </c>
    </row>
  </sheetData>
  <mergeCells count="38">
    <mergeCell ref="B1:J1"/>
    <mergeCell ref="D2:J2"/>
    <mergeCell ref="D3:J3"/>
    <mergeCell ref="E12:F12"/>
    <mergeCell ref="G15:J15"/>
    <mergeCell ref="G33:H33"/>
    <mergeCell ref="G34:H34"/>
    <mergeCell ref="H46:J46"/>
    <mergeCell ref="G47:J47"/>
    <mergeCell ref="G48:J48"/>
    <mergeCell ref="G49:J49"/>
    <mergeCell ref="B60:J60"/>
    <mergeCell ref="B8:B9"/>
    <mergeCell ref="B10:B11"/>
    <mergeCell ref="B13:B14"/>
    <mergeCell ref="B15:B17"/>
    <mergeCell ref="B18:B19"/>
    <mergeCell ref="B20:B21"/>
    <mergeCell ref="B22:B25"/>
    <mergeCell ref="B26:B30"/>
    <mergeCell ref="B35:B45"/>
    <mergeCell ref="B46:B49"/>
    <mergeCell ref="B51:B54"/>
    <mergeCell ref="B55:B58"/>
    <mergeCell ref="C18:C19"/>
    <mergeCell ref="C22:C25"/>
    <mergeCell ref="C26:C30"/>
    <mergeCell ref="C36:C38"/>
    <mergeCell ref="C39:C45"/>
    <mergeCell ref="C46:C49"/>
    <mergeCell ref="D18:D19"/>
    <mergeCell ref="G18:G19"/>
    <mergeCell ref="J18:J19"/>
    <mergeCell ref="L2:M3"/>
    <mergeCell ref="L5:N6"/>
    <mergeCell ref="L62:N63"/>
    <mergeCell ref="L8:N9"/>
    <mergeCell ref="L11:N12"/>
  </mergeCells>
  <dataValidations count="1">
    <dataValidation type="list" allowBlank="1" showInputMessage="1" showErrorMessage="1" sqref="J35">
      <formula1>"奔跑班,兄弟班,嘉宾班"</formula1>
    </dataValidation>
  </dataValidations>
  <hyperlinks>
    <hyperlink ref="B10:B11" location="目录索引!A1" display="按水平方向查找计算"/>
    <hyperlink ref="B11" location="目录索引!A1"/>
  </hyperlinks>
  <pageMargins left="0.67" right="0.67" top="0.72" bottom="0.72" header="0.29" footer="0.29"/>
  <pageSetup paperSize="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1"/>
  <sheetViews>
    <sheetView workbookViewId="0">
      <selection activeCell="Y19" sqref="Y19"/>
    </sheetView>
  </sheetViews>
  <sheetFormatPr defaultColWidth="9.14423076923077" defaultRowHeight="16.5" customHeight="1"/>
  <cols>
    <col min="1" max="1" width="6.14423076923077" customWidth="1"/>
    <col min="2" max="2" width="9.14423076923077" style="10" customWidth="1"/>
    <col min="3" max="3" width="1.71153846153846" style="10" customWidth="1"/>
    <col min="4" max="4" width="12" style="10" customWidth="1"/>
    <col min="5" max="5" width="9.14423076923077" style="10" customWidth="1"/>
    <col min="6" max="6" width="20.2788461538462" style="10" customWidth="1"/>
    <col min="7" max="11" width="9.14423076923077" style="10" customWidth="1"/>
    <col min="12" max="12" width="6.14423076923077" style="10" customWidth="1"/>
    <col min="13" max="13" width="9.14423076923077" style="10" customWidth="1"/>
    <col min="14" max="14" width="1.71153846153846" style="10" customWidth="1"/>
    <col min="15" max="15" width="12.5769230769231" style="10" customWidth="1"/>
    <col min="16" max="16" width="9.14423076923077" style="10" customWidth="1"/>
    <col min="17" max="17" width="12.4230769230769" style="10" customWidth="1"/>
    <col min="18" max="18" width="9.14423076923077" style="10" customWidth="1"/>
    <col min="19" max="19" width="12.7115384615385" style="10" customWidth="1"/>
    <col min="20" max="20" width="9.14423076923077" style="10" customWidth="1"/>
    <col min="21" max="21" width="11.5769230769231" style="10" customWidth="1"/>
    <col min="22" max="23" width="9.14423076923077" style="10" customWidth="1"/>
    <col min="24" max="24" width="11.8557692307692" style="10" customWidth="1"/>
    <col min="27" max="27" width="11.1442307692308" customWidth="1"/>
  </cols>
  <sheetData>
    <row r="1" ht="18" customHeight="1" spans="2:27">
      <c r="B1" s="46" t="s">
        <v>589</v>
      </c>
      <c r="D1" s="47"/>
      <c r="E1" s="57"/>
      <c r="F1" s="58"/>
      <c r="G1" s="59"/>
      <c r="H1" s="60"/>
      <c r="I1" s="80"/>
      <c r="J1" s="81"/>
      <c r="K1" s="82"/>
      <c r="M1" s="46" t="s">
        <v>590</v>
      </c>
      <c r="O1" s="90"/>
      <c r="P1" s="91"/>
      <c r="Q1" s="104"/>
      <c r="Y1" s="123"/>
      <c r="Z1" s="123"/>
      <c r="AA1" s="10"/>
    </row>
    <row r="2" customHeight="1" spans="25:27">
      <c r="Y2" s="124"/>
      <c r="Z2" s="124"/>
      <c r="AA2" s="10"/>
    </row>
    <row r="3" ht="18" customHeight="1" spans="2:27">
      <c r="B3" s="48" t="s">
        <v>591</v>
      </c>
      <c r="D3" s="49"/>
      <c r="E3" s="61"/>
      <c r="F3" s="61"/>
      <c r="G3" s="62"/>
      <c r="H3" s="62"/>
      <c r="I3" s="62"/>
      <c r="J3" s="83"/>
      <c r="K3" s="49"/>
      <c r="M3" s="48" t="s">
        <v>592</v>
      </c>
      <c r="O3" s="92" t="s">
        <v>593</v>
      </c>
      <c r="P3" s="92"/>
      <c r="Q3" s="92"/>
      <c r="R3" s="92"/>
      <c r="Y3" s="16"/>
      <c r="Z3" s="16"/>
      <c r="AA3" s="16"/>
    </row>
    <row r="4" ht="17.25" customHeight="1" spans="2:27">
      <c r="B4" s="48"/>
      <c r="D4" s="49"/>
      <c r="E4" s="49"/>
      <c r="F4" s="49"/>
      <c r="G4" s="49"/>
      <c r="H4" s="49"/>
      <c r="I4" s="49"/>
      <c r="J4" s="49"/>
      <c r="K4" s="49"/>
      <c r="M4" s="48"/>
      <c r="Y4" s="17"/>
      <c r="Z4" s="17"/>
      <c r="AA4" s="17"/>
    </row>
    <row r="5" ht="18" customHeight="1" spans="2:27">
      <c r="B5" s="48"/>
      <c r="D5" s="50"/>
      <c r="E5" s="50"/>
      <c r="F5" s="50"/>
      <c r="G5" s="50"/>
      <c r="H5" s="63"/>
      <c r="I5" s="84"/>
      <c r="J5" s="85"/>
      <c r="K5" s="49"/>
      <c r="M5" s="48"/>
      <c r="O5" s="93" t="s">
        <v>594</v>
      </c>
      <c r="Q5" s="105" t="s">
        <v>595</v>
      </c>
      <c r="R5" s="105"/>
      <c r="Y5" s="18"/>
      <c r="Z5" s="18"/>
      <c r="AA5" s="18"/>
    </row>
    <row r="6" ht="17.25" customHeight="1" spans="2:27">
      <c r="B6" s="48"/>
      <c r="D6" s="49"/>
      <c r="E6" s="49"/>
      <c r="F6" s="49"/>
      <c r="G6" s="49"/>
      <c r="H6" s="49"/>
      <c r="I6" s="49"/>
      <c r="J6" s="49"/>
      <c r="K6" s="49"/>
      <c r="M6" s="48"/>
      <c r="O6" s="93"/>
      <c r="Q6" s="105"/>
      <c r="R6" s="105"/>
      <c r="Y6" s="19"/>
      <c r="Z6" s="19"/>
      <c r="AA6" s="19"/>
    </row>
    <row r="7" ht="18" customHeight="1" spans="2:27">
      <c r="B7" s="48"/>
      <c r="D7" s="51"/>
      <c r="E7" s="51"/>
      <c r="F7" s="49"/>
      <c r="G7" s="64"/>
      <c r="H7" s="65"/>
      <c r="I7" s="49"/>
      <c r="J7" s="86"/>
      <c r="K7" s="87"/>
      <c r="M7" s="48"/>
      <c r="O7" s="93"/>
      <c r="Q7" s="105"/>
      <c r="R7" s="105"/>
      <c r="Y7" s="16"/>
      <c r="Z7" s="16"/>
      <c r="AA7" s="16"/>
    </row>
    <row r="8" ht="17.25" customHeight="1" spans="2:27">
      <c r="B8" s="48"/>
      <c r="D8" s="51"/>
      <c r="E8" s="51"/>
      <c r="F8" s="49"/>
      <c r="G8" s="66"/>
      <c r="H8" s="67"/>
      <c r="I8" s="49"/>
      <c r="J8" s="88"/>
      <c r="K8" s="89"/>
      <c r="M8" s="48"/>
      <c r="O8" s="93"/>
      <c r="Q8" s="105"/>
      <c r="R8" s="105"/>
      <c r="Y8" s="17"/>
      <c r="Z8" s="17"/>
      <c r="AA8" s="17"/>
    </row>
    <row r="9" ht="18" customHeight="1" spans="2:11">
      <c r="B9" s="48"/>
      <c r="D9" s="49"/>
      <c r="E9" s="49"/>
      <c r="F9" s="49"/>
      <c r="G9" s="49"/>
      <c r="H9" s="49"/>
      <c r="I9" s="49"/>
      <c r="J9" s="49"/>
      <c r="K9" s="49"/>
    </row>
    <row r="10" ht="18" customHeight="1" spans="2:24">
      <c r="B10" s="48"/>
      <c r="D10" s="52"/>
      <c r="E10" s="68"/>
      <c r="F10" s="49"/>
      <c r="G10" s="69"/>
      <c r="H10" s="69"/>
      <c r="I10" s="69"/>
      <c r="J10" s="49"/>
      <c r="K10" s="49"/>
      <c r="M10" s="94" t="s">
        <v>596</v>
      </c>
      <c r="O10" s="95" t="s">
        <v>597</v>
      </c>
      <c r="P10" s="95" t="s">
        <v>598</v>
      </c>
      <c r="Q10" s="95" t="s">
        <v>599</v>
      </c>
      <c r="R10" s="95" t="s">
        <v>600</v>
      </c>
      <c r="S10" s="95" t="s">
        <v>601</v>
      </c>
      <c r="T10" s="95" t="s">
        <v>602</v>
      </c>
      <c r="U10" s="95" t="s">
        <v>603</v>
      </c>
      <c r="V10" s="95" t="s">
        <v>604</v>
      </c>
      <c r="W10" s="95" t="s">
        <v>605</v>
      </c>
      <c r="X10" s="95" t="s">
        <v>606</v>
      </c>
    </row>
    <row r="11" ht="76.5" customHeight="1" spans="2:24">
      <c r="B11" s="48"/>
      <c r="D11" s="52"/>
      <c r="E11" s="68"/>
      <c r="F11" s="49"/>
      <c r="G11" s="70"/>
      <c r="H11" s="70"/>
      <c r="I11" s="70"/>
      <c r="J11" s="49"/>
      <c r="K11" s="49"/>
      <c r="M11" s="94"/>
      <c r="O11" s="96" t="s">
        <v>607</v>
      </c>
      <c r="P11" s="97" t="s">
        <v>608</v>
      </c>
      <c r="Q11" s="106" t="s">
        <v>609</v>
      </c>
      <c r="R11" s="107" t="s">
        <v>610</v>
      </c>
      <c r="S11" s="108" t="s">
        <v>611</v>
      </c>
      <c r="T11" s="109" t="s">
        <v>612</v>
      </c>
      <c r="U11" s="116" t="s">
        <v>613</v>
      </c>
      <c r="V11" s="75" t="s">
        <v>614</v>
      </c>
      <c r="W11" s="75" t="s">
        <v>615</v>
      </c>
      <c r="X11" s="96" t="s">
        <v>607</v>
      </c>
    </row>
    <row r="12" ht="42" customHeight="1" spans="2:24">
      <c r="B12" s="48"/>
      <c r="D12" s="52"/>
      <c r="E12" s="68"/>
      <c r="F12" s="49"/>
      <c r="G12" s="71"/>
      <c r="H12" s="71"/>
      <c r="I12" s="71"/>
      <c r="J12" s="49"/>
      <c r="K12" s="49"/>
      <c r="M12" s="94"/>
      <c r="O12" s="98" t="s">
        <v>607</v>
      </c>
      <c r="P12" s="99" t="s">
        <v>608</v>
      </c>
      <c r="Q12" s="110" t="s">
        <v>609</v>
      </c>
      <c r="R12" s="110" t="s">
        <v>610</v>
      </c>
      <c r="S12" s="108" t="s">
        <v>616</v>
      </c>
      <c r="T12" s="111" t="s">
        <v>612</v>
      </c>
      <c r="U12" s="117" t="s">
        <v>613</v>
      </c>
      <c r="V12" s="75" t="s">
        <v>617</v>
      </c>
      <c r="W12" s="118" t="s">
        <v>615</v>
      </c>
      <c r="X12" s="119" t="s">
        <v>607</v>
      </c>
    </row>
    <row r="13" ht="17.25" customHeight="1" spans="15:24">
      <c r="O13" s="75"/>
      <c r="P13" s="75"/>
      <c r="Q13" s="75"/>
      <c r="R13" s="75"/>
      <c r="S13" s="75"/>
      <c r="T13" s="75"/>
      <c r="U13" s="75"/>
      <c r="V13" s="75"/>
      <c r="W13" s="75"/>
      <c r="X13" s="75"/>
    </row>
    <row r="14" ht="27.75" customHeight="1" spans="2:24">
      <c r="B14" s="53" t="s">
        <v>618</v>
      </c>
      <c r="D14" s="54" t="s">
        <v>619</v>
      </c>
      <c r="E14" s="54" t="s">
        <v>620</v>
      </c>
      <c r="F14" s="54" t="s">
        <v>621</v>
      </c>
      <c r="M14" s="53" t="s">
        <v>622</v>
      </c>
      <c r="O14" s="100"/>
      <c r="P14" s="101"/>
      <c r="Q14" s="103" t="b">
        <v>1</v>
      </c>
      <c r="R14" s="112"/>
      <c r="S14" s="103" t="s">
        <v>623</v>
      </c>
      <c r="T14" s="113"/>
      <c r="U14" s="120"/>
      <c r="V14" s="112"/>
      <c r="W14" s="121"/>
      <c r="X14" s="112"/>
    </row>
    <row r="15" customHeight="1" spans="2:22">
      <c r="B15" s="53"/>
      <c r="D15" s="55">
        <v>0.25</v>
      </c>
      <c r="E15" s="54" t="s">
        <v>624</v>
      </c>
      <c r="F15" s="72">
        <v>0.25</v>
      </c>
      <c r="H15" s="73"/>
      <c r="M15" s="53"/>
      <c r="V15" s="112"/>
    </row>
    <row r="16" customHeight="1" spans="2:24">
      <c r="B16" s="53"/>
      <c r="D16" s="55">
        <v>1.35</v>
      </c>
      <c r="E16" s="54" t="s">
        <v>625</v>
      </c>
      <c r="F16" s="74">
        <v>1.35</v>
      </c>
      <c r="H16" s="75"/>
      <c r="M16" s="53"/>
      <c r="O16" s="102" t="s">
        <v>626</v>
      </c>
      <c r="P16" s="103"/>
      <c r="Q16" s="114" t="s">
        <v>627</v>
      </c>
      <c r="R16" s="103"/>
      <c r="S16" s="115" t="s">
        <v>628</v>
      </c>
      <c r="T16" s="103"/>
      <c r="U16" s="122" t="s">
        <v>629</v>
      </c>
      <c r="V16" s="112"/>
      <c r="W16" s="112"/>
      <c r="X16" s="112"/>
    </row>
    <row r="17" customHeight="1" spans="2:24">
      <c r="B17" s="53"/>
      <c r="D17" s="55">
        <v>1.053</v>
      </c>
      <c r="E17" s="54" t="s">
        <v>630</v>
      </c>
      <c r="F17" s="76">
        <v>1.053</v>
      </c>
      <c r="H17" s="75"/>
      <c r="M17" s="53"/>
      <c r="O17" s="103"/>
      <c r="P17" s="103"/>
      <c r="Q17" s="103"/>
      <c r="R17" s="103"/>
      <c r="S17" s="10"/>
      <c r="T17" s="103"/>
      <c r="U17" s="103"/>
      <c r="V17" s="112"/>
      <c r="W17" s="112"/>
      <c r="X17" s="112"/>
    </row>
    <row r="18" customHeight="1" spans="2:15">
      <c r="B18" s="53"/>
      <c r="D18" s="56">
        <f ca="1" t="shared" ref="D18:F19" si="0">TODAY()</f>
        <v>46157</v>
      </c>
      <c r="E18" s="54" t="s">
        <v>631</v>
      </c>
      <c r="F18" s="56">
        <f ca="1" t="shared" si="0"/>
        <v>46157</v>
      </c>
      <c r="H18" s="75"/>
      <c r="M18" s="53"/>
      <c r="O18"/>
    </row>
    <row r="19" customHeight="1" spans="2:13">
      <c r="B19" s="53"/>
      <c r="D19" s="56">
        <f ca="1" t="shared" si="0"/>
        <v>46157</v>
      </c>
      <c r="E19" s="54" t="s">
        <v>632</v>
      </c>
      <c r="F19" s="77">
        <f ca="1" t="shared" si="0"/>
        <v>46157</v>
      </c>
      <c r="H19" s="75"/>
      <c r="M19" s="53"/>
    </row>
    <row r="20" customHeight="1" spans="2:13">
      <c r="B20" s="53"/>
      <c r="D20" s="55">
        <v>0.25</v>
      </c>
      <c r="E20" s="54" t="s">
        <v>633</v>
      </c>
      <c r="F20" s="78">
        <v>0.25</v>
      </c>
      <c r="M20" s="53"/>
    </row>
    <row r="21" customHeight="1" spans="2:13">
      <c r="B21" s="53"/>
      <c r="D21" s="10">
        <v>123456789</v>
      </c>
      <c r="E21" s="54" t="s">
        <v>634</v>
      </c>
      <c r="F21" s="79">
        <v>123456789</v>
      </c>
      <c r="M21" s="53"/>
    </row>
  </sheetData>
  <mergeCells count="12">
    <mergeCell ref="O3:R3"/>
    <mergeCell ref="B3:B12"/>
    <mergeCell ref="B14:B21"/>
    <mergeCell ref="M3:M8"/>
    <mergeCell ref="M10:M12"/>
    <mergeCell ref="M14:M21"/>
    <mergeCell ref="O5:O8"/>
    <mergeCell ref="Q5:R8"/>
    <mergeCell ref="Y1:Z2"/>
    <mergeCell ref="Y3:AA4"/>
    <mergeCell ref="Y5:AA6"/>
    <mergeCell ref="Y7:AA8"/>
  </mergeCells>
  <pageMargins left="0.67" right="0.67" top="0.72" bottom="0.72" header="0.29" footer="0.29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4"/>
  <sheetViews>
    <sheetView topLeftCell="A1038" workbookViewId="0">
      <selection activeCell="T20" sqref="T20"/>
    </sheetView>
  </sheetViews>
  <sheetFormatPr defaultColWidth="9.14423076923077" defaultRowHeight="15" customHeight="1"/>
  <cols>
    <col min="1" max="1" width="13.4230769230769" customWidth="1"/>
    <col min="2" max="2" width="9.71153846153846" customWidth="1"/>
    <col min="3" max="14" width="10.7115384615385" customWidth="1"/>
  </cols>
  <sheetData>
    <row r="1" customHeight="1" spans="1:2">
      <c r="A1" s="33" t="s">
        <v>635</v>
      </c>
      <c r="B1" s="33" t="s">
        <v>636</v>
      </c>
    </row>
    <row r="2" customHeight="1" spans="1:14">
      <c r="A2" s="33" t="s">
        <v>637</v>
      </c>
      <c r="B2" s="33" t="s">
        <v>638</v>
      </c>
      <c r="C2" s="33" t="s">
        <v>639</v>
      </c>
      <c r="D2" s="33" t="s">
        <v>640</v>
      </c>
      <c r="E2" s="33" t="s">
        <v>641</v>
      </c>
      <c r="F2" s="33" t="s">
        <v>642</v>
      </c>
      <c r="G2" s="33" t="s">
        <v>643</v>
      </c>
      <c r="H2" s="33" t="s">
        <v>644</v>
      </c>
      <c r="I2" s="33" t="s">
        <v>645</v>
      </c>
      <c r="J2" s="33" t="s">
        <v>646</v>
      </c>
      <c r="K2" s="33" t="s">
        <v>647</v>
      </c>
      <c r="L2" s="33" t="s">
        <v>648</v>
      </c>
      <c r="M2" s="33" t="s">
        <v>649</v>
      </c>
      <c r="N2" s="33" t="s">
        <v>650</v>
      </c>
    </row>
    <row r="3" customHeight="1" spans="1:20">
      <c r="A3" s="34" t="s">
        <v>651</v>
      </c>
      <c r="B3" s="33">
        <v>28</v>
      </c>
      <c r="C3" s="33"/>
      <c r="D3" s="33">
        <v>7</v>
      </c>
      <c r="E3" s="33">
        <v>1</v>
      </c>
      <c r="F3" s="33">
        <v>5</v>
      </c>
      <c r="G3" s="33"/>
      <c r="H3" s="33">
        <v>4</v>
      </c>
      <c r="I3" s="33">
        <v>11</v>
      </c>
      <c r="J3" s="33">
        <v>28</v>
      </c>
      <c r="K3" s="33">
        <v>28</v>
      </c>
      <c r="L3" s="33">
        <v>4</v>
      </c>
      <c r="M3" s="33">
        <v>9</v>
      </c>
      <c r="N3" s="33">
        <v>125</v>
      </c>
      <c r="R3" s="45"/>
      <c r="S3" s="45"/>
      <c r="T3" s="10"/>
    </row>
    <row r="4" customHeight="1" spans="1:20">
      <c r="A4" s="35" t="s">
        <v>652</v>
      </c>
      <c r="B4" s="33">
        <v>7</v>
      </c>
      <c r="C4" s="33"/>
      <c r="D4" s="33">
        <v>1</v>
      </c>
      <c r="E4" s="33"/>
      <c r="F4" s="33">
        <v>1</v>
      </c>
      <c r="G4" s="33"/>
      <c r="H4" s="33">
        <v>1</v>
      </c>
      <c r="I4" s="33">
        <v>3</v>
      </c>
      <c r="J4" s="33">
        <v>4</v>
      </c>
      <c r="K4" s="33">
        <v>3</v>
      </c>
      <c r="L4" s="33">
        <v>2</v>
      </c>
      <c r="M4" s="33">
        <v>2</v>
      </c>
      <c r="N4" s="33">
        <v>24</v>
      </c>
      <c r="R4" s="45"/>
      <c r="S4" s="45"/>
      <c r="T4" s="10"/>
    </row>
    <row r="5" customHeight="1" spans="1:20">
      <c r="A5" s="35" t="s">
        <v>653</v>
      </c>
      <c r="B5" s="33">
        <v>4</v>
      </c>
      <c r="C5" s="33"/>
      <c r="D5" s="33">
        <v>2</v>
      </c>
      <c r="E5" s="33"/>
      <c r="F5" s="33">
        <v>1</v>
      </c>
      <c r="G5" s="33"/>
      <c r="H5" s="33">
        <v>1</v>
      </c>
      <c r="I5" s="33">
        <v>1</v>
      </c>
      <c r="J5" s="33">
        <v>7</v>
      </c>
      <c r="K5" s="33">
        <v>11</v>
      </c>
      <c r="L5" s="33"/>
      <c r="M5" s="33">
        <v>1</v>
      </c>
      <c r="N5" s="33">
        <v>28</v>
      </c>
      <c r="R5" s="10"/>
      <c r="S5" s="10"/>
      <c r="T5" s="10"/>
    </row>
    <row r="6" customHeight="1" spans="1:20">
      <c r="A6" s="35" t="s">
        <v>654</v>
      </c>
      <c r="B6" s="33">
        <v>9</v>
      </c>
      <c r="C6" s="33"/>
      <c r="D6" s="33">
        <v>3</v>
      </c>
      <c r="E6" s="33">
        <v>1</v>
      </c>
      <c r="F6" s="33">
        <v>1</v>
      </c>
      <c r="G6" s="33"/>
      <c r="H6" s="33">
        <v>1</v>
      </c>
      <c r="I6" s="33">
        <v>2</v>
      </c>
      <c r="J6" s="33">
        <v>7</v>
      </c>
      <c r="K6" s="33">
        <v>4</v>
      </c>
      <c r="L6" s="33"/>
      <c r="M6" s="33">
        <v>1</v>
      </c>
      <c r="N6" s="33">
        <v>29</v>
      </c>
      <c r="R6" s="16"/>
      <c r="S6" s="16"/>
      <c r="T6" s="16"/>
    </row>
    <row r="7" customHeight="1" spans="1:20">
      <c r="A7" s="35" t="s">
        <v>655</v>
      </c>
      <c r="B7" s="33">
        <v>5</v>
      </c>
      <c r="C7" s="33"/>
      <c r="D7" s="33">
        <v>1</v>
      </c>
      <c r="E7" s="33"/>
      <c r="F7" s="33"/>
      <c r="G7" s="33"/>
      <c r="H7" s="33">
        <v>1</v>
      </c>
      <c r="I7" s="33">
        <v>5</v>
      </c>
      <c r="J7" s="33">
        <v>3</v>
      </c>
      <c r="K7" s="33">
        <v>3</v>
      </c>
      <c r="L7" s="33">
        <v>1</v>
      </c>
      <c r="M7" s="33">
        <v>2</v>
      </c>
      <c r="N7" s="33">
        <v>21</v>
      </c>
      <c r="R7" s="17"/>
      <c r="S7" s="17"/>
      <c r="T7" s="17"/>
    </row>
    <row r="8" customHeight="1" spans="1:20">
      <c r="A8" s="35" t="s">
        <v>656</v>
      </c>
      <c r="B8" s="33">
        <v>3</v>
      </c>
      <c r="C8" s="33"/>
      <c r="D8" s="33"/>
      <c r="E8" s="33"/>
      <c r="F8" s="33">
        <v>2</v>
      </c>
      <c r="G8" s="33"/>
      <c r="H8" s="33"/>
      <c r="I8" s="33"/>
      <c r="J8" s="33">
        <v>7</v>
      </c>
      <c r="K8" s="33">
        <v>7</v>
      </c>
      <c r="L8" s="33">
        <v>1</v>
      </c>
      <c r="M8" s="33">
        <v>3</v>
      </c>
      <c r="N8" s="33">
        <v>23</v>
      </c>
      <c r="R8" s="10"/>
      <c r="S8" s="10"/>
      <c r="T8" s="10"/>
    </row>
    <row r="9" customHeight="1" spans="1:20">
      <c r="A9" s="34" t="s">
        <v>657</v>
      </c>
      <c r="B9" s="33">
        <v>32</v>
      </c>
      <c r="C9" s="33">
        <v>35</v>
      </c>
      <c r="D9" s="33">
        <v>13</v>
      </c>
      <c r="E9" s="33">
        <v>71</v>
      </c>
      <c r="F9" s="33">
        <v>23</v>
      </c>
      <c r="G9" s="33">
        <v>7</v>
      </c>
      <c r="H9" s="33">
        <v>29</v>
      </c>
      <c r="I9" s="33">
        <v>34</v>
      </c>
      <c r="J9" s="33">
        <v>39</v>
      </c>
      <c r="K9" s="33">
        <v>98</v>
      </c>
      <c r="L9" s="33"/>
      <c r="M9" s="33">
        <v>30</v>
      </c>
      <c r="N9" s="33">
        <v>411</v>
      </c>
      <c r="R9" s="18"/>
      <c r="S9" s="18"/>
      <c r="T9" s="18"/>
    </row>
    <row r="10" customHeight="1" spans="1:20">
      <c r="A10" s="35" t="s">
        <v>652</v>
      </c>
      <c r="B10" s="33">
        <v>9</v>
      </c>
      <c r="C10" s="33">
        <v>5</v>
      </c>
      <c r="D10" s="33">
        <v>3</v>
      </c>
      <c r="E10" s="33">
        <v>19</v>
      </c>
      <c r="F10" s="33">
        <v>6</v>
      </c>
      <c r="G10" s="33">
        <v>2</v>
      </c>
      <c r="H10" s="33">
        <v>2</v>
      </c>
      <c r="I10" s="33">
        <v>6</v>
      </c>
      <c r="J10" s="33">
        <v>10</v>
      </c>
      <c r="K10" s="33">
        <v>20</v>
      </c>
      <c r="L10" s="33"/>
      <c r="M10" s="33">
        <v>2</v>
      </c>
      <c r="N10" s="33">
        <v>84</v>
      </c>
      <c r="R10" s="19"/>
      <c r="S10" s="19"/>
      <c r="T10" s="19"/>
    </row>
    <row r="11" customHeight="1" spans="1:14">
      <c r="A11" s="35" t="s">
        <v>653</v>
      </c>
      <c r="B11" s="33">
        <v>6</v>
      </c>
      <c r="C11" s="33">
        <v>4</v>
      </c>
      <c r="D11" s="33">
        <v>1</v>
      </c>
      <c r="E11" s="33">
        <v>10</v>
      </c>
      <c r="F11" s="33">
        <v>6</v>
      </c>
      <c r="G11" s="33"/>
      <c r="H11" s="33">
        <v>6</v>
      </c>
      <c r="I11" s="33">
        <v>4</v>
      </c>
      <c r="J11" s="33">
        <v>2</v>
      </c>
      <c r="K11" s="33">
        <v>19</v>
      </c>
      <c r="L11" s="33"/>
      <c r="M11" s="33">
        <v>6</v>
      </c>
      <c r="N11" s="33">
        <v>64</v>
      </c>
    </row>
    <row r="12" customHeight="1" spans="1:20">
      <c r="A12" s="35" t="s">
        <v>654</v>
      </c>
      <c r="B12" s="33">
        <v>4</v>
      </c>
      <c r="C12" s="33">
        <v>8</v>
      </c>
      <c r="D12" s="33">
        <v>1</v>
      </c>
      <c r="E12" s="33">
        <v>17</v>
      </c>
      <c r="F12" s="33">
        <v>4</v>
      </c>
      <c r="G12" s="33">
        <v>3</v>
      </c>
      <c r="H12" s="33">
        <v>6</v>
      </c>
      <c r="I12" s="33">
        <v>7</v>
      </c>
      <c r="J12" s="33">
        <v>8</v>
      </c>
      <c r="K12" s="33">
        <v>19</v>
      </c>
      <c r="L12" s="33"/>
      <c r="M12" s="33">
        <v>5</v>
      </c>
      <c r="N12" s="33">
        <v>82</v>
      </c>
      <c r="R12" s="16"/>
      <c r="S12" s="16"/>
      <c r="T12" s="16"/>
    </row>
    <row r="13" customHeight="1" spans="1:20">
      <c r="A13" s="35" t="s">
        <v>655</v>
      </c>
      <c r="B13" s="33">
        <v>6</v>
      </c>
      <c r="C13" s="33">
        <v>8</v>
      </c>
      <c r="D13" s="33">
        <v>4</v>
      </c>
      <c r="E13" s="33">
        <v>7</v>
      </c>
      <c r="F13" s="33">
        <v>5</v>
      </c>
      <c r="G13" s="33">
        <v>1</v>
      </c>
      <c r="H13" s="33">
        <v>7</v>
      </c>
      <c r="I13" s="33">
        <v>11</v>
      </c>
      <c r="J13" s="33">
        <v>11</v>
      </c>
      <c r="K13" s="33">
        <v>23</v>
      </c>
      <c r="L13" s="33"/>
      <c r="M13" s="33">
        <v>9</v>
      </c>
      <c r="N13" s="33">
        <v>92</v>
      </c>
      <c r="R13" s="17"/>
      <c r="S13" s="17"/>
      <c r="T13" s="17"/>
    </row>
    <row r="14" customHeight="1" spans="1:14">
      <c r="A14" s="35" t="s">
        <v>656</v>
      </c>
      <c r="B14" s="33">
        <v>7</v>
      </c>
      <c r="C14" s="33">
        <v>10</v>
      </c>
      <c r="D14" s="33">
        <v>4</v>
      </c>
      <c r="E14" s="33">
        <v>18</v>
      </c>
      <c r="F14" s="33">
        <v>2</v>
      </c>
      <c r="G14" s="33">
        <v>1</v>
      </c>
      <c r="H14" s="33">
        <v>8</v>
      </c>
      <c r="I14" s="33">
        <v>6</v>
      </c>
      <c r="J14" s="33">
        <v>8</v>
      </c>
      <c r="K14" s="33">
        <v>17</v>
      </c>
      <c r="L14" s="33"/>
      <c r="M14" s="33">
        <v>8</v>
      </c>
      <c r="N14" s="33">
        <v>89</v>
      </c>
    </row>
    <row r="15" customHeight="1" spans="1:14">
      <c r="A15" s="34" t="s">
        <v>658</v>
      </c>
      <c r="B15" s="33">
        <v>19</v>
      </c>
      <c r="C15" s="33">
        <v>60</v>
      </c>
      <c r="D15" s="33">
        <v>48</v>
      </c>
      <c r="E15" s="33">
        <v>50</v>
      </c>
      <c r="F15" s="33">
        <v>72</v>
      </c>
      <c r="G15" s="33"/>
      <c r="H15" s="33">
        <v>37</v>
      </c>
      <c r="I15" s="33">
        <v>34</v>
      </c>
      <c r="J15" s="33">
        <v>57</v>
      </c>
      <c r="K15" s="33">
        <v>89</v>
      </c>
      <c r="L15" s="33">
        <v>23</v>
      </c>
      <c r="M15" s="33">
        <v>24</v>
      </c>
      <c r="N15" s="33">
        <v>513</v>
      </c>
    </row>
    <row r="16" customHeight="1" spans="1:14">
      <c r="A16" s="35" t="s">
        <v>652</v>
      </c>
      <c r="B16" s="33">
        <v>1</v>
      </c>
      <c r="C16" s="33">
        <v>13</v>
      </c>
      <c r="D16" s="33">
        <v>7</v>
      </c>
      <c r="E16" s="33">
        <v>4</v>
      </c>
      <c r="F16" s="33">
        <v>22</v>
      </c>
      <c r="G16" s="33"/>
      <c r="H16" s="33">
        <v>6</v>
      </c>
      <c r="I16" s="33">
        <v>6</v>
      </c>
      <c r="J16" s="33">
        <v>11</v>
      </c>
      <c r="K16" s="33">
        <v>27</v>
      </c>
      <c r="L16" s="33">
        <v>6</v>
      </c>
      <c r="M16" s="33">
        <v>6</v>
      </c>
      <c r="N16" s="33">
        <v>109</v>
      </c>
    </row>
    <row r="17" customHeight="1" spans="1:14">
      <c r="A17" s="35" t="s">
        <v>653</v>
      </c>
      <c r="B17" s="33">
        <v>4</v>
      </c>
      <c r="C17" s="33">
        <v>14</v>
      </c>
      <c r="D17" s="33">
        <v>9</v>
      </c>
      <c r="E17" s="33">
        <v>7</v>
      </c>
      <c r="F17" s="33">
        <v>11</v>
      </c>
      <c r="G17" s="33"/>
      <c r="H17" s="33">
        <v>8</v>
      </c>
      <c r="I17" s="33">
        <v>4</v>
      </c>
      <c r="J17" s="33">
        <v>14</v>
      </c>
      <c r="K17" s="33">
        <v>10</v>
      </c>
      <c r="L17" s="33">
        <v>2</v>
      </c>
      <c r="M17" s="33">
        <v>5</v>
      </c>
      <c r="N17" s="33">
        <v>88</v>
      </c>
    </row>
    <row r="18" customHeight="1" spans="1:14">
      <c r="A18" s="35" t="s">
        <v>654</v>
      </c>
      <c r="B18" s="33">
        <v>3</v>
      </c>
      <c r="C18" s="33">
        <v>7</v>
      </c>
      <c r="D18" s="33">
        <v>10</v>
      </c>
      <c r="E18" s="33">
        <v>18</v>
      </c>
      <c r="F18" s="33">
        <v>12</v>
      </c>
      <c r="G18" s="33"/>
      <c r="H18" s="33">
        <v>10</v>
      </c>
      <c r="I18" s="33">
        <v>6</v>
      </c>
      <c r="J18" s="33">
        <v>14</v>
      </c>
      <c r="K18" s="33">
        <v>23</v>
      </c>
      <c r="L18" s="33">
        <v>4</v>
      </c>
      <c r="M18" s="33">
        <v>6</v>
      </c>
      <c r="N18" s="33">
        <v>113</v>
      </c>
    </row>
    <row r="19" customHeight="1" spans="1:14">
      <c r="A19" s="35" t="s">
        <v>655</v>
      </c>
      <c r="B19" s="33">
        <v>6</v>
      </c>
      <c r="C19" s="33">
        <v>16</v>
      </c>
      <c r="D19" s="33">
        <v>7</v>
      </c>
      <c r="E19" s="33">
        <v>14</v>
      </c>
      <c r="F19" s="33">
        <v>17</v>
      </c>
      <c r="G19" s="33"/>
      <c r="H19" s="33">
        <v>7</v>
      </c>
      <c r="I19" s="33">
        <v>9</v>
      </c>
      <c r="J19" s="33">
        <v>10</v>
      </c>
      <c r="K19" s="33">
        <v>19</v>
      </c>
      <c r="L19" s="33">
        <v>7</v>
      </c>
      <c r="M19" s="33">
        <v>5</v>
      </c>
      <c r="N19" s="33">
        <v>117</v>
      </c>
    </row>
    <row r="20" customHeight="1" spans="1:14">
      <c r="A20" s="35" t="s">
        <v>656</v>
      </c>
      <c r="B20" s="33">
        <v>5</v>
      </c>
      <c r="C20" s="33">
        <v>10</v>
      </c>
      <c r="D20" s="33">
        <v>15</v>
      </c>
      <c r="E20" s="33">
        <v>7</v>
      </c>
      <c r="F20" s="33">
        <v>10</v>
      </c>
      <c r="G20" s="33"/>
      <c r="H20" s="33">
        <v>6</v>
      </c>
      <c r="I20" s="33">
        <v>9</v>
      </c>
      <c r="J20" s="33">
        <v>8</v>
      </c>
      <c r="K20" s="33">
        <v>10</v>
      </c>
      <c r="L20" s="33">
        <v>4</v>
      </c>
      <c r="M20" s="33">
        <v>2</v>
      </c>
      <c r="N20" s="33">
        <v>86</v>
      </c>
    </row>
    <row r="21" customHeight="1" spans="1:14">
      <c r="A21" s="34" t="s">
        <v>650</v>
      </c>
      <c r="B21" s="33">
        <v>79</v>
      </c>
      <c r="C21" s="33">
        <v>95</v>
      </c>
      <c r="D21" s="33">
        <v>68</v>
      </c>
      <c r="E21" s="33">
        <v>122</v>
      </c>
      <c r="F21" s="33">
        <v>100</v>
      </c>
      <c r="G21" s="33">
        <v>7</v>
      </c>
      <c r="H21" s="33">
        <v>70</v>
      </c>
      <c r="I21" s="33">
        <v>79</v>
      </c>
      <c r="J21" s="33">
        <v>124</v>
      </c>
      <c r="K21" s="33">
        <v>215</v>
      </c>
      <c r="L21" s="33">
        <v>27</v>
      </c>
      <c r="M21" s="33">
        <v>63</v>
      </c>
      <c r="N21" s="33">
        <v>1049</v>
      </c>
    </row>
    <row r="25" customHeight="1" spans="1:14">
      <c r="A25" s="36" t="s">
        <v>659</v>
      </c>
      <c r="B25" s="37" t="s">
        <v>660</v>
      </c>
      <c r="C25" s="37" t="s">
        <v>661</v>
      </c>
      <c r="D25" s="37" t="s">
        <v>662</v>
      </c>
      <c r="E25" s="37" t="s">
        <v>663</v>
      </c>
      <c r="F25" s="37" t="s">
        <v>664</v>
      </c>
      <c r="G25" s="37" t="s">
        <v>665</v>
      </c>
      <c r="H25" s="37" t="s">
        <v>666</v>
      </c>
      <c r="I25" s="37" t="s">
        <v>667</v>
      </c>
      <c r="J25" s="37" t="s">
        <v>668</v>
      </c>
      <c r="K25" s="37" t="s">
        <v>669</v>
      </c>
      <c r="L25" s="37" t="s">
        <v>670</v>
      </c>
      <c r="M25" s="37" t="s">
        <v>671</v>
      </c>
      <c r="N25" s="42" t="s">
        <v>672</v>
      </c>
    </row>
    <row r="26" customHeight="1" spans="1:14">
      <c r="A26" s="38">
        <v>715</v>
      </c>
      <c r="B26" s="39" t="s">
        <v>673</v>
      </c>
      <c r="C26" s="39" t="s">
        <v>674</v>
      </c>
      <c r="D26" s="39" t="s">
        <v>641</v>
      </c>
      <c r="E26" s="39" t="s">
        <v>657</v>
      </c>
      <c r="F26" s="39" t="s">
        <v>675</v>
      </c>
      <c r="G26" s="39" t="s">
        <v>654</v>
      </c>
      <c r="H26" s="39" t="s">
        <v>676</v>
      </c>
      <c r="I26" s="39" t="s">
        <v>677</v>
      </c>
      <c r="J26" s="39" t="s">
        <v>678</v>
      </c>
      <c r="K26" s="39" t="s">
        <v>679</v>
      </c>
      <c r="L26" s="39" t="s">
        <v>680</v>
      </c>
      <c r="M26" s="39">
        <v>0.9</v>
      </c>
      <c r="N26" s="43"/>
    </row>
    <row r="27" customHeight="1" spans="1:14">
      <c r="A27" s="40">
        <v>716</v>
      </c>
      <c r="B27" s="41" t="s">
        <v>681</v>
      </c>
      <c r="C27" s="41" t="s">
        <v>674</v>
      </c>
      <c r="D27" s="41" t="s">
        <v>638</v>
      </c>
      <c r="E27" s="41" t="s">
        <v>651</v>
      </c>
      <c r="F27" s="41" t="s">
        <v>682</v>
      </c>
      <c r="G27" s="41" t="s">
        <v>654</v>
      </c>
      <c r="H27" s="41" t="s">
        <v>683</v>
      </c>
      <c r="I27" s="41" t="s">
        <v>677</v>
      </c>
      <c r="J27" s="41" t="s">
        <v>678</v>
      </c>
      <c r="K27" s="41" t="s">
        <v>679</v>
      </c>
      <c r="L27" s="41" t="s">
        <v>684</v>
      </c>
      <c r="M27" s="41">
        <v>0.85</v>
      </c>
      <c r="N27" s="44"/>
    </row>
    <row r="28" customHeight="1" spans="1:14">
      <c r="A28" s="38">
        <v>717</v>
      </c>
      <c r="B28" s="39" t="s">
        <v>685</v>
      </c>
      <c r="C28" s="39" t="s">
        <v>674</v>
      </c>
      <c r="D28" s="39" t="s">
        <v>645</v>
      </c>
      <c r="E28" s="39" t="s">
        <v>651</v>
      </c>
      <c r="F28" s="39" t="s">
        <v>686</v>
      </c>
      <c r="G28" s="39" t="s">
        <v>655</v>
      </c>
      <c r="H28" s="39" t="s">
        <v>687</v>
      </c>
      <c r="I28" s="39" t="s">
        <v>688</v>
      </c>
      <c r="J28" s="39" t="s">
        <v>678</v>
      </c>
      <c r="K28" s="39" t="s">
        <v>689</v>
      </c>
      <c r="L28" s="39" t="s">
        <v>680</v>
      </c>
      <c r="M28" s="39">
        <v>0.9</v>
      </c>
      <c r="N28" s="43"/>
    </row>
    <row r="29" customHeight="1" spans="1:14">
      <c r="A29" s="40">
        <v>718</v>
      </c>
      <c r="B29" s="41" t="s">
        <v>690</v>
      </c>
      <c r="C29" s="41" t="s">
        <v>691</v>
      </c>
      <c r="D29" s="41" t="s">
        <v>638</v>
      </c>
      <c r="E29" s="41" t="s">
        <v>658</v>
      </c>
      <c r="F29" s="41" t="s">
        <v>692</v>
      </c>
      <c r="G29" s="41" t="s">
        <v>652</v>
      </c>
      <c r="H29" s="41" t="s">
        <v>683</v>
      </c>
      <c r="I29" s="41" t="s">
        <v>693</v>
      </c>
      <c r="J29" s="41" t="s">
        <v>678</v>
      </c>
      <c r="K29" s="41" t="s">
        <v>694</v>
      </c>
      <c r="L29" s="41" t="s">
        <v>695</v>
      </c>
      <c r="M29" s="41">
        <v>0.6</v>
      </c>
      <c r="N29" s="44"/>
    </row>
    <row r="30" customHeight="1" spans="1:14">
      <c r="A30" s="38">
        <v>719</v>
      </c>
      <c r="B30" s="39" t="s">
        <v>696</v>
      </c>
      <c r="C30" s="39" t="s">
        <v>691</v>
      </c>
      <c r="D30" s="39" t="s">
        <v>644</v>
      </c>
      <c r="E30" s="39" t="s">
        <v>657</v>
      </c>
      <c r="F30" s="39" t="s">
        <v>697</v>
      </c>
      <c r="G30" s="39" t="s">
        <v>655</v>
      </c>
      <c r="H30" s="39" t="s">
        <v>687</v>
      </c>
      <c r="I30" s="39" t="s">
        <v>693</v>
      </c>
      <c r="J30" s="39" t="s">
        <v>678</v>
      </c>
      <c r="K30" s="39" t="s">
        <v>694</v>
      </c>
      <c r="L30" s="39" t="s">
        <v>695</v>
      </c>
      <c r="M30" s="39">
        <v>0.6</v>
      </c>
      <c r="N30" s="43"/>
    </row>
    <row r="31" customHeight="1" spans="1:14">
      <c r="A31" s="40">
        <v>720</v>
      </c>
      <c r="B31" s="41" t="s">
        <v>698</v>
      </c>
      <c r="C31" s="41" t="s">
        <v>691</v>
      </c>
      <c r="D31" s="41" t="s">
        <v>642</v>
      </c>
      <c r="E31" s="41" t="s">
        <v>651</v>
      </c>
      <c r="F31" s="41" t="s">
        <v>699</v>
      </c>
      <c r="G31" s="41" t="s">
        <v>656</v>
      </c>
      <c r="H31" s="41" t="s">
        <v>683</v>
      </c>
      <c r="I31" s="41" t="s">
        <v>700</v>
      </c>
      <c r="J31" s="41" t="s">
        <v>678</v>
      </c>
      <c r="K31" s="41" t="s">
        <v>701</v>
      </c>
      <c r="L31" s="41" t="s">
        <v>684</v>
      </c>
      <c r="M31" s="41">
        <v>0.85</v>
      </c>
      <c r="N31" s="44"/>
    </row>
    <row r="32" customHeight="1" spans="1:14">
      <c r="A32" s="38">
        <v>721</v>
      </c>
      <c r="B32" s="39" t="s">
        <v>702</v>
      </c>
      <c r="C32" s="39" t="s">
        <v>703</v>
      </c>
      <c r="D32" s="39" t="s">
        <v>647</v>
      </c>
      <c r="E32" s="39" t="s">
        <v>658</v>
      </c>
      <c r="F32" s="39" t="s">
        <v>704</v>
      </c>
      <c r="G32" s="39" t="s">
        <v>654</v>
      </c>
      <c r="H32" s="39" t="s">
        <v>676</v>
      </c>
      <c r="I32" s="39" t="s">
        <v>700</v>
      </c>
      <c r="J32" s="39" t="s">
        <v>678</v>
      </c>
      <c r="K32" s="39" t="s">
        <v>679</v>
      </c>
      <c r="L32" s="39" t="s">
        <v>680</v>
      </c>
      <c r="M32" s="39">
        <v>0.9</v>
      </c>
      <c r="N32" s="43"/>
    </row>
    <row r="33" customHeight="1" spans="1:14">
      <c r="A33" s="40">
        <v>722</v>
      </c>
      <c r="B33" s="41" t="s">
        <v>705</v>
      </c>
      <c r="C33" s="41" t="s">
        <v>691</v>
      </c>
      <c r="D33" s="41" t="s">
        <v>649</v>
      </c>
      <c r="E33" s="41" t="s">
        <v>658</v>
      </c>
      <c r="F33" s="41" t="s">
        <v>706</v>
      </c>
      <c r="G33" s="41" t="s">
        <v>652</v>
      </c>
      <c r="H33" s="41" t="s">
        <v>707</v>
      </c>
      <c r="I33" s="41" t="s">
        <v>708</v>
      </c>
      <c r="J33" s="41" t="s">
        <v>709</v>
      </c>
      <c r="K33" s="41" t="s">
        <v>710</v>
      </c>
      <c r="L33" s="41" t="s">
        <v>680</v>
      </c>
      <c r="M33" s="41">
        <v>0.9</v>
      </c>
      <c r="N33" s="44"/>
    </row>
    <row r="34" customHeight="1" spans="1:14">
      <c r="A34" s="38">
        <v>723</v>
      </c>
      <c r="B34" s="39" t="s">
        <v>711</v>
      </c>
      <c r="C34" s="39" t="s">
        <v>674</v>
      </c>
      <c r="D34" s="39" t="s">
        <v>645</v>
      </c>
      <c r="E34" s="39" t="s">
        <v>658</v>
      </c>
      <c r="F34" s="39" t="s">
        <v>712</v>
      </c>
      <c r="G34" s="39" t="s">
        <v>652</v>
      </c>
      <c r="H34" s="39" t="s">
        <v>676</v>
      </c>
      <c r="I34" s="39" t="s">
        <v>708</v>
      </c>
      <c r="J34" s="39" t="s">
        <v>709</v>
      </c>
      <c r="K34" s="39" t="s">
        <v>689</v>
      </c>
      <c r="L34" s="39" t="s">
        <v>695</v>
      </c>
      <c r="M34" s="39">
        <v>0.6</v>
      </c>
      <c r="N34" s="43"/>
    </row>
    <row r="35" customHeight="1" spans="1:14">
      <c r="A35" s="40">
        <v>724</v>
      </c>
      <c r="B35" s="41" t="s">
        <v>713</v>
      </c>
      <c r="C35" s="41" t="s">
        <v>691</v>
      </c>
      <c r="D35" s="41" t="s">
        <v>647</v>
      </c>
      <c r="E35" s="41" t="s">
        <v>658</v>
      </c>
      <c r="F35" s="41" t="s">
        <v>714</v>
      </c>
      <c r="G35" s="41" t="s">
        <v>653</v>
      </c>
      <c r="H35" s="41" t="s">
        <v>707</v>
      </c>
      <c r="I35" s="41" t="s">
        <v>677</v>
      </c>
      <c r="J35" s="41" t="s">
        <v>678</v>
      </c>
      <c r="K35" s="41" t="s">
        <v>710</v>
      </c>
      <c r="L35" s="41" t="s">
        <v>715</v>
      </c>
      <c r="M35" s="41">
        <v>0</v>
      </c>
      <c r="N35" s="44"/>
    </row>
    <row r="36" customHeight="1" spans="1:14">
      <c r="A36" s="38">
        <v>725</v>
      </c>
      <c r="B36" s="39" t="s">
        <v>716</v>
      </c>
      <c r="C36" s="39" t="s">
        <v>691</v>
      </c>
      <c r="D36" s="39" t="s">
        <v>640</v>
      </c>
      <c r="E36" s="39" t="s">
        <v>651</v>
      </c>
      <c r="F36" s="39" t="s">
        <v>717</v>
      </c>
      <c r="G36" s="39" t="s">
        <v>654</v>
      </c>
      <c r="H36" s="39" t="s">
        <v>718</v>
      </c>
      <c r="I36" s="39" t="s">
        <v>688</v>
      </c>
      <c r="J36" s="39" t="s">
        <v>678</v>
      </c>
      <c r="K36" s="39" t="s">
        <v>679</v>
      </c>
      <c r="L36" s="39" t="s">
        <v>719</v>
      </c>
      <c r="M36" s="39">
        <v>0</v>
      </c>
      <c r="N36" s="43"/>
    </row>
    <row r="37" customHeight="1" spans="1:14">
      <c r="A37" s="40">
        <v>726</v>
      </c>
      <c r="B37" s="41" t="s">
        <v>720</v>
      </c>
      <c r="C37" s="41" t="s">
        <v>691</v>
      </c>
      <c r="D37" s="41" t="s">
        <v>646</v>
      </c>
      <c r="E37" s="41" t="s">
        <v>658</v>
      </c>
      <c r="F37" s="41" t="s">
        <v>721</v>
      </c>
      <c r="G37" s="41" t="s">
        <v>654</v>
      </c>
      <c r="H37" s="41" t="s">
        <v>722</v>
      </c>
      <c r="I37" s="41" t="s">
        <v>693</v>
      </c>
      <c r="J37" s="41" t="s">
        <v>678</v>
      </c>
      <c r="K37" s="41" t="s">
        <v>701</v>
      </c>
      <c r="L37" s="41" t="s">
        <v>680</v>
      </c>
      <c r="M37" s="41">
        <v>0.9</v>
      </c>
      <c r="N37" s="44"/>
    </row>
    <row r="38" customHeight="1" spans="1:14">
      <c r="A38" s="38">
        <v>727</v>
      </c>
      <c r="B38" s="39" t="s">
        <v>723</v>
      </c>
      <c r="C38" s="39" t="s">
        <v>691</v>
      </c>
      <c r="D38" s="39" t="s">
        <v>646</v>
      </c>
      <c r="E38" s="39" t="s">
        <v>658</v>
      </c>
      <c r="F38" s="39" t="s">
        <v>724</v>
      </c>
      <c r="G38" s="39" t="s">
        <v>654</v>
      </c>
      <c r="H38" s="39" t="s">
        <v>722</v>
      </c>
      <c r="I38" s="39" t="s">
        <v>688</v>
      </c>
      <c r="J38" s="39" t="s">
        <v>678</v>
      </c>
      <c r="K38" s="39" t="s">
        <v>701</v>
      </c>
      <c r="L38" s="39" t="s">
        <v>680</v>
      </c>
      <c r="M38" s="39">
        <v>0.9</v>
      </c>
      <c r="N38" s="43"/>
    </row>
    <row r="39" customHeight="1" spans="1:14">
      <c r="A39" s="40">
        <v>728</v>
      </c>
      <c r="B39" s="41" t="s">
        <v>725</v>
      </c>
      <c r="C39" s="41" t="s">
        <v>674</v>
      </c>
      <c r="D39" s="41" t="s">
        <v>642</v>
      </c>
      <c r="E39" s="41" t="s">
        <v>658</v>
      </c>
      <c r="F39" s="41" t="s">
        <v>726</v>
      </c>
      <c r="G39" s="41" t="s">
        <v>652</v>
      </c>
      <c r="H39" s="41" t="s">
        <v>727</v>
      </c>
      <c r="I39" s="41" t="s">
        <v>688</v>
      </c>
      <c r="J39" s="41" t="s">
        <v>678</v>
      </c>
      <c r="K39" s="41" t="s">
        <v>689</v>
      </c>
      <c r="L39" s="41" t="s">
        <v>695</v>
      </c>
      <c r="M39" s="41">
        <v>0.6</v>
      </c>
      <c r="N39" s="44"/>
    </row>
    <row r="40" customHeight="1" spans="1:14">
      <c r="A40" s="38">
        <v>729</v>
      </c>
      <c r="B40" s="39" t="s">
        <v>728</v>
      </c>
      <c r="C40" s="39" t="s">
        <v>691</v>
      </c>
      <c r="D40" s="39" t="s">
        <v>641</v>
      </c>
      <c r="E40" s="39" t="s">
        <v>657</v>
      </c>
      <c r="F40" s="39" t="s">
        <v>729</v>
      </c>
      <c r="G40" s="39" t="s">
        <v>652</v>
      </c>
      <c r="H40" s="39" t="s">
        <v>683</v>
      </c>
      <c r="I40" s="39" t="s">
        <v>688</v>
      </c>
      <c r="J40" s="39" t="s">
        <v>678</v>
      </c>
      <c r="K40" s="39" t="s">
        <v>689</v>
      </c>
      <c r="L40" s="39" t="s">
        <v>695</v>
      </c>
      <c r="M40" s="39">
        <v>0.6</v>
      </c>
      <c r="N40" s="43"/>
    </row>
    <row r="41" customHeight="1" spans="1:14">
      <c r="A41" s="40">
        <v>730</v>
      </c>
      <c r="B41" s="41" t="s">
        <v>730</v>
      </c>
      <c r="C41" s="41" t="s">
        <v>691</v>
      </c>
      <c r="D41" s="41" t="s">
        <v>642</v>
      </c>
      <c r="E41" s="41" t="s">
        <v>658</v>
      </c>
      <c r="F41" s="41" t="s">
        <v>731</v>
      </c>
      <c r="G41" s="41" t="s">
        <v>654</v>
      </c>
      <c r="H41" s="41" t="s">
        <v>683</v>
      </c>
      <c r="I41" s="41" t="s">
        <v>677</v>
      </c>
      <c r="J41" s="41" t="s">
        <v>678</v>
      </c>
      <c r="K41" s="41" t="s">
        <v>732</v>
      </c>
      <c r="L41" s="41" t="s">
        <v>715</v>
      </c>
      <c r="M41" s="41">
        <v>0</v>
      </c>
      <c r="N41" s="44"/>
    </row>
    <row r="42" customHeight="1" spans="1:14">
      <c r="A42" s="38">
        <v>731</v>
      </c>
      <c r="B42" s="39" t="s">
        <v>733</v>
      </c>
      <c r="C42" s="39" t="s">
        <v>674</v>
      </c>
      <c r="D42" s="39" t="s">
        <v>648</v>
      </c>
      <c r="E42" s="39" t="s">
        <v>658</v>
      </c>
      <c r="F42" s="39" t="s">
        <v>734</v>
      </c>
      <c r="G42" s="39" t="s">
        <v>655</v>
      </c>
      <c r="H42" s="39" t="s">
        <v>687</v>
      </c>
      <c r="I42" s="39" t="s">
        <v>700</v>
      </c>
      <c r="J42" s="39" t="s">
        <v>678</v>
      </c>
      <c r="K42" s="39" t="s">
        <v>689</v>
      </c>
      <c r="L42" s="39" t="s">
        <v>695</v>
      </c>
      <c r="M42" s="39">
        <v>0.6</v>
      </c>
      <c r="N42" s="43"/>
    </row>
    <row r="43" customHeight="1" spans="1:14">
      <c r="A43" s="40">
        <v>732</v>
      </c>
      <c r="B43" s="41" t="s">
        <v>735</v>
      </c>
      <c r="C43" s="41" t="s">
        <v>691</v>
      </c>
      <c r="D43" s="41" t="s">
        <v>648</v>
      </c>
      <c r="E43" s="41" t="s">
        <v>651</v>
      </c>
      <c r="F43" s="41" t="s">
        <v>736</v>
      </c>
      <c r="G43" s="41" t="s">
        <v>652</v>
      </c>
      <c r="H43" s="41" t="s">
        <v>676</v>
      </c>
      <c r="I43" s="41" t="s">
        <v>700</v>
      </c>
      <c r="J43" s="41" t="s">
        <v>678</v>
      </c>
      <c r="K43" s="41" t="s">
        <v>689</v>
      </c>
      <c r="L43" s="41" t="s">
        <v>715</v>
      </c>
      <c r="M43" s="41">
        <v>0</v>
      </c>
      <c r="N43" s="44"/>
    </row>
    <row r="44" customHeight="1" spans="1:14">
      <c r="A44" s="38">
        <v>733</v>
      </c>
      <c r="B44" s="39" t="s">
        <v>737</v>
      </c>
      <c r="C44" s="39" t="s">
        <v>691</v>
      </c>
      <c r="D44" s="39" t="s">
        <v>642</v>
      </c>
      <c r="E44" s="39" t="s">
        <v>658</v>
      </c>
      <c r="F44" s="39" t="s">
        <v>738</v>
      </c>
      <c r="G44" s="39" t="s">
        <v>655</v>
      </c>
      <c r="H44" s="39" t="s">
        <v>727</v>
      </c>
      <c r="I44" s="39" t="s">
        <v>708</v>
      </c>
      <c r="J44" s="39" t="s">
        <v>678</v>
      </c>
      <c r="K44" s="39" t="s">
        <v>689</v>
      </c>
      <c r="L44" s="39" t="s">
        <v>715</v>
      </c>
      <c r="M44" s="39">
        <v>0</v>
      </c>
      <c r="N44" s="43"/>
    </row>
    <row r="45" customHeight="1" spans="1:14">
      <c r="A45" s="40">
        <v>734</v>
      </c>
      <c r="B45" s="41" t="s">
        <v>739</v>
      </c>
      <c r="C45" s="41" t="s">
        <v>674</v>
      </c>
      <c r="D45" s="41" t="s">
        <v>641</v>
      </c>
      <c r="E45" s="41" t="s">
        <v>657</v>
      </c>
      <c r="F45" s="41" t="s">
        <v>740</v>
      </c>
      <c r="G45" s="41" t="s">
        <v>656</v>
      </c>
      <c r="H45" s="41" t="s">
        <v>687</v>
      </c>
      <c r="I45" s="41" t="s">
        <v>688</v>
      </c>
      <c r="J45" s="41" t="s">
        <v>678</v>
      </c>
      <c r="K45" s="41" t="s">
        <v>732</v>
      </c>
      <c r="L45" s="41" t="s">
        <v>684</v>
      </c>
      <c r="M45" s="41">
        <v>0.85</v>
      </c>
      <c r="N45" s="44"/>
    </row>
    <row r="46" customHeight="1" spans="1:14">
      <c r="A46" s="38">
        <v>735</v>
      </c>
      <c r="B46" s="39" t="s">
        <v>741</v>
      </c>
      <c r="C46" s="39" t="s">
        <v>691</v>
      </c>
      <c r="D46" s="39" t="s">
        <v>639</v>
      </c>
      <c r="E46" s="39" t="s">
        <v>657</v>
      </c>
      <c r="F46" s="39" t="s">
        <v>742</v>
      </c>
      <c r="G46" s="39" t="s">
        <v>653</v>
      </c>
      <c r="H46" s="39" t="s">
        <v>727</v>
      </c>
      <c r="I46" s="39" t="s">
        <v>708</v>
      </c>
      <c r="J46" s="39" t="s">
        <v>709</v>
      </c>
      <c r="K46" s="39" t="s">
        <v>679</v>
      </c>
      <c r="L46" s="39" t="s">
        <v>743</v>
      </c>
      <c r="M46" s="39">
        <v>0</v>
      </c>
      <c r="N46" s="43"/>
    </row>
    <row r="47" customHeight="1" spans="1:14">
      <c r="A47" s="40">
        <v>736</v>
      </c>
      <c r="B47" s="41" t="s">
        <v>744</v>
      </c>
      <c r="C47" s="41" t="s">
        <v>674</v>
      </c>
      <c r="D47" s="41" t="s">
        <v>647</v>
      </c>
      <c r="E47" s="41" t="s">
        <v>657</v>
      </c>
      <c r="F47" s="41" t="s">
        <v>745</v>
      </c>
      <c r="G47" s="41" t="s">
        <v>652</v>
      </c>
      <c r="H47" s="41" t="s">
        <v>683</v>
      </c>
      <c r="I47" s="41" t="s">
        <v>677</v>
      </c>
      <c r="J47" s="41" t="s">
        <v>678</v>
      </c>
      <c r="K47" s="41" t="s">
        <v>679</v>
      </c>
      <c r="L47" s="41" t="s">
        <v>719</v>
      </c>
      <c r="M47" s="41">
        <v>0</v>
      </c>
      <c r="N47" s="44"/>
    </row>
    <row r="48" customHeight="1" spans="1:14">
      <c r="A48" s="38">
        <v>737</v>
      </c>
      <c r="B48" s="39" t="s">
        <v>746</v>
      </c>
      <c r="C48" s="39" t="s">
        <v>691</v>
      </c>
      <c r="D48" s="39" t="s">
        <v>645</v>
      </c>
      <c r="E48" s="39" t="s">
        <v>657</v>
      </c>
      <c r="F48" s="39" t="s">
        <v>747</v>
      </c>
      <c r="G48" s="39" t="s">
        <v>654</v>
      </c>
      <c r="H48" s="39" t="s">
        <v>718</v>
      </c>
      <c r="I48" s="39" t="s">
        <v>688</v>
      </c>
      <c r="J48" s="39" t="s">
        <v>678</v>
      </c>
      <c r="K48" s="39" t="s">
        <v>710</v>
      </c>
      <c r="L48" s="39" t="s">
        <v>719</v>
      </c>
      <c r="M48" s="39">
        <v>0</v>
      </c>
      <c r="N48" s="43"/>
    </row>
    <row r="49" customHeight="1" spans="1:14">
      <c r="A49" s="40">
        <v>738</v>
      </c>
      <c r="B49" s="41" t="s">
        <v>702</v>
      </c>
      <c r="C49" s="41" t="s">
        <v>703</v>
      </c>
      <c r="D49" s="41" t="s">
        <v>647</v>
      </c>
      <c r="E49" s="41" t="s">
        <v>658</v>
      </c>
      <c r="F49" s="41" t="s">
        <v>748</v>
      </c>
      <c r="G49" s="41" t="s">
        <v>654</v>
      </c>
      <c r="H49" s="41" t="s">
        <v>707</v>
      </c>
      <c r="I49" s="41" t="s">
        <v>693</v>
      </c>
      <c r="J49" s="41" t="s">
        <v>678</v>
      </c>
      <c r="K49" s="41" t="s">
        <v>679</v>
      </c>
      <c r="L49" s="41" t="s">
        <v>715</v>
      </c>
      <c r="M49" s="41">
        <v>0</v>
      </c>
      <c r="N49" s="44"/>
    </row>
    <row r="50" customHeight="1" spans="1:14">
      <c r="A50" s="38">
        <v>739</v>
      </c>
      <c r="B50" s="39" t="s">
        <v>749</v>
      </c>
      <c r="C50" s="39" t="s">
        <v>674</v>
      </c>
      <c r="D50" s="39" t="s">
        <v>639</v>
      </c>
      <c r="E50" s="39" t="s">
        <v>658</v>
      </c>
      <c r="F50" s="39" t="s">
        <v>750</v>
      </c>
      <c r="G50" s="39" t="s">
        <v>653</v>
      </c>
      <c r="H50" s="39" t="s">
        <v>687</v>
      </c>
      <c r="I50" s="39" t="s">
        <v>677</v>
      </c>
      <c r="J50" s="39" t="s">
        <v>709</v>
      </c>
      <c r="K50" s="39" t="s">
        <v>701</v>
      </c>
      <c r="L50" s="39" t="s">
        <v>743</v>
      </c>
      <c r="M50" s="39">
        <v>0</v>
      </c>
      <c r="N50" s="43"/>
    </row>
    <row r="51" customHeight="1" spans="1:14">
      <c r="A51" s="40">
        <v>740</v>
      </c>
      <c r="B51" s="41" t="s">
        <v>751</v>
      </c>
      <c r="C51" s="41" t="s">
        <v>691</v>
      </c>
      <c r="D51" s="41" t="s">
        <v>647</v>
      </c>
      <c r="E51" s="41" t="s">
        <v>658</v>
      </c>
      <c r="F51" s="41" t="s">
        <v>752</v>
      </c>
      <c r="G51" s="41" t="s">
        <v>655</v>
      </c>
      <c r="H51" s="41" t="s">
        <v>727</v>
      </c>
      <c r="I51" s="41" t="s">
        <v>708</v>
      </c>
      <c r="J51" s="41" t="s">
        <v>709</v>
      </c>
      <c r="K51" s="41" t="s">
        <v>689</v>
      </c>
      <c r="L51" s="41" t="s">
        <v>684</v>
      </c>
      <c r="M51" s="41">
        <v>0.85</v>
      </c>
      <c r="N51" s="44"/>
    </row>
    <row r="52" customHeight="1" spans="1:14">
      <c r="A52" s="38">
        <v>741</v>
      </c>
      <c r="B52" s="39" t="s">
        <v>753</v>
      </c>
      <c r="C52" s="39" t="s">
        <v>691</v>
      </c>
      <c r="D52" s="39" t="s">
        <v>648</v>
      </c>
      <c r="E52" s="39" t="s">
        <v>658</v>
      </c>
      <c r="F52" s="39" t="s">
        <v>754</v>
      </c>
      <c r="G52" s="39" t="s">
        <v>654</v>
      </c>
      <c r="H52" s="39" t="s">
        <v>676</v>
      </c>
      <c r="I52" s="39" t="s">
        <v>693</v>
      </c>
      <c r="J52" s="39" t="s">
        <v>678</v>
      </c>
      <c r="K52" s="39" t="s">
        <v>679</v>
      </c>
      <c r="L52" s="39" t="s">
        <v>680</v>
      </c>
      <c r="M52" s="39">
        <v>0.9</v>
      </c>
      <c r="N52" s="43"/>
    </row>
    <row r="53" customHeight="1" spans="1:14">
      <c r="A53" s="40">
        <v>742</v>
      </c>
      <c r="B53" s="41" t="s">
        <v>755</v>
      </c>
      <c r="C53" s="41" t="s">
        <v>691</v>
      </c>
      <c r="D53" s="41" t="s">
        <v>641</v>
      </c>
      <c r="E53" s="41" t="s">
        <v>657</v>
      </c>
      <c r="F53" s="41" t="s">
        <v>756</v>
      </c>
      <c r="G53" s="41" t="s">
        <v>654</v>
      </c>
      <c r="H53" s="41" t="s">
        <v>727</v>
      </c>
      <c r="I53" s="41" t="s">
        <v>677</v>
      </c>
      <c r="J53" s="41" t="s">
        <v>678</v>
      </c>
      <c r="K53" s="41" t="s">
        <v>694</v>
      </c>
      <c r="L53" s="41" t="s">
        <v>695</v>
      </c>
      <c r="M53" s="41">
        <v>0.6</v>
      </c>
      <c r="N53" s="44"/>
    </row>
    <row r="54" customHeight="1" spans="1:14">
      <c r="A54" s="38">
        <v>743</v>
      </c>
      <c r="B54" s="39" t="s">
        <v>744</v>
      </c>
      <c r="C54" s="39" t="s">
        <v>674</v>
      </c>
      <c r="D54" s="39" t="s">
        <v>647</v>
      </c>
      <c r="E54" s="39" t="s">
        <v>657</v>
      </c>
      <c r="F54" s="39" t="s">
        <v>757</v>
      </c>
      <c r="G54" s="39" t="s">
        <v>655</v>
      </c>
      <c r="H54" s="39" t="s">
        <v>722</v>
      </c>
      <c r="I54" s="39" t="s">
        <v>693</v>
      </c>
      <c r="J54" s="39" t="s">
        <v>678</v>
      </c>
      <c r="K54" s="39" t="s">
        <v>689</v>
      </c>
      <c r="L54" s="39" t="s">
        <v>695</v>
      </c>
      <c r="M54" s="39">
        <v>0.6</v>
      </c>
      <c r="N54" s="43"/>
    </row>
    <row r="55" customHeight="1" spans="1:14">
      <c r="A55" s="40">
        <v>744</v>
      </c>
      <c r="B55" s="41" t="s">
        <v>758</v>
      </c>
      <c r="C55" s="41" t="s">
        <v>691</v>
      </c>
      <c r="D55" s="41" t="s">
        <v>638</v>
      </c>
      <c r="E55" s="41" t="s">
        <v>657</v>
      </c>
      <c r="F55" s="41" t="s">
        <v>759</v>
      </c>
      <c r="G55" s="41" t="s">
        <v>655</v>
      </c>
      <c r="H55" s="41" t="s">
        <v>687</v>
      </c>
      <c r="I55" s="41" t="s">
        <v>688</v>
      </c>
      <c r="J55" s="41" t="s">
        <v>678</v>
      </c>
      <c r="K55" s="41" t="s">
        <v>689</v>
      </c>
      <c r="L55" s="41" t="s">
        <v>719</v>
      </c>
      <c r="M55" s="41">
        <v>0</v>
      </c>
      <c r="N55" s="44"/>
    </row>
    <row r="56" customHeight="1" spans="1:14">
      <c r="A56" s="38">
        <v>745</v>
      </c>
      <c r="B56" s="39" t="s">
        <v>760</v>
      </c>
      <c r="C56" s="39" t="s">
        <v>674</v>
      </c>
      <c r="D56" s="39" t="s">
        <v>638</v>
      </c>
      <c r="E56" s="39" t="s">
        <v>657</v>
      </c>
      <c r="F56" s="39" t="s">
        <v>761</v>
      </c>
      <c r="G56" s="39" t="s">
        <v>656</v>
      </c>
      <c r="H56" s="39" t="s">
        <v>727</v>
      </c>
      <c r="I56" s="39" t="s">
        <v>688</v>
      </c>
      <c r="J56" s="39" t="s">
        <v>709</v>
      </c>
      <c r="K56" s="39" t="s">
        <v>732</v>
      </c>
      <c r="L56" s="39" t="s">
        <v>719</v>
      </c>
      <c r="M56" s="39">
        <v>0</v>
      </c>
      <c r="N56" s="43"/>
    </row>
    <row r="57" customHeight="1" spans="1:14">
      <c r="A57" s="40">
        <v>746</v>
      </c>
      <c r="B57" s="41" t="s">
        <v>762</v>
      </c>
      <c r="C57" s="41" t="s">
        <v>691</v>
      </c>
      <c r="D57" s="41" t="s">
        <v>646</v>
      </c>
      <c r="E57" s="41" t="s">
        <v>651</v>
      </c>
      <c r="F57" s="41" t="s">
        <v>763</v>
      </c>
      <c r="G57" s="41" t="s">
        <v>655</v>
      </c>
      <c r="H57" s="41" t="s">
        <v>707</v>
      </c>
      <c r="I57" s="41" t="s">
        <v>708</v>
      </c>
      <c r="J57" s="41" t="s">
        <v>678</v>
      </c>
      <c r="K57" s="41" t="s">
        <v>694</v>
      </c>
      <c r="L57" s="41" t="s">
        <v>680</v>
      </c>
      <c r="M57" s="41">
        <v>0.9</v>
      </c>
      <c r="N57" s="44"/>
    </row>
    <row r="58" customHeight="1" spans="1:14">
      <c r="A58" s="38">
        <v>747</v>
      </c>
      <c r="B58" s="39" t="s">
        <v>764</v>
      </c>
      <c r="C58" s="39" t="s">
        <v>674</v>
      </c>
      <c r="D58" s="39" t="s">
        <v>647</v>
      </c>
      <c r="E58" s="39" t="s">
        <v>651</v>
      </c>
      <c r="F58" s="39" t="s">
        <v>765</v>
      </c>
      <c r="G58" s="39" t="s">
        <v>655</v>
      </c>
      <c r="H58" s="39" t="s">
        <v>687</v>
      </c>
      <c r="I58" s="39" t="s">
        <v>688</v>
      </c>
      <c r="J58" s="39" t="s">
        <v>709</v>
      </c>
      <c r="K58" s="39" t="s">
        <v>732</v>
      </c>
      <c r="L58" s="39" t="s">
        <v>715</v>
      </c>
      <c r="M58" s="39">
        <v>0</v>
      </c>
      <c r="N58" s="43"/>
    </row>
    <row r="59" customHeight="1" spans="1:14">
      <c r="A59" s="40">
        <v>748</v>
      </c>
      <c r="B59" s="41" t="s">
        <v>766</v>
      </c>
      <c r="C59" s="41" t="s">
        <v>691</v>
      </c>
      <c r="D59" s="41" t="s">
        <v>647</v>
      </c>
      <c r="E59" s="41" t="s">
        <v>657</v>
      </c>
      <c r="F59" s="41" t="s">
        <v>767</v>
      </c>
      <c r="G59" s="41" t="s">
        <v>652</v>
      </c>
      <c r="H59" s="41" t="s">
        <v>683</v>
      </c>
      <c r="I59" s="41" t="s">
        <v>708</v>
      </c>
      <c r="J59" s="41" t="s">
        <v>709</v>
      </c>
      <c r="K59" s="41" t="s">
        <v>710</v>
      </c>
      <c r="L59" s="41" t="s">
        <v>719</v>
      </c>
      <c r="M59" s="41">
        <v>0</v>
      </c>
      <c r="N59" s="44"/>
    </row>
    <row r="60" customHeight="1" spans="1:14">
      <c r="A60" s="38">
        <v>749</v>
      </c>
      <c r="B60" s="39" t="s">
        <v>768</v>
      </c>
      <c r="C60" s="39" t="s">
        <v>674</v>
      </c>
      <c r="D60" s="39" t="s">
        <v>647</v>
      </c>
      <c r="E60" s="39" t="s">
        <v>657</v>
      </c>
      <c r="F60" s="39" t="s">
        <v>769</v>
      </c>
      <c r="G60" s="39" t="s">
        <v>655</v>
      </c>
      <c r="H60" s="39" t="s">
        <v>707</v>
      </c>
      <c r="I60" s="39" t="s">
        <v>693</v>
      </c>
      <c r="J60" s="39" t="s">
        <v>709</v>
      </c>
      <c r="K60" s="39" t="s">
        <v>694</v>
      </c>
      <c r="L60" s="39" t="s">
        <v>695</v>
      </c>
      <c r="M60" s="39">
        <v>0.6</v>
      </c>
      <c r="N60" s="43"/>
    </row>
    <row r="61" customHeight="1" spans="1:14">
      <c r="A61" s="40">
        <v>750</v>
      </c>
      <c r="B61" s="41" t="s">
        <v>770</v>
      </c>
      <c r="C61" s="41" t="s">
        <v>691</v>
      </c>
      <c r="D61" s="41" t="s">
        <v>646</v>
      </c>
      <c r="E61" s="41" t="s">
        <v>651</v>
      </c>
      <c r="F61" s="41" t="s">
        <v>771</v>
      </c>
      <c r="G61" s="41" t="s">
        <v>656</v>
      </c>
      <c r="H61" s="41" t="s">
        <v>676</v>
      </c>
      <c r="I61" s="41" t="s">
        <v>677</v>
      </c>
      <c r="J61" s="41" t="s">
        <v>678</v>
      </c>
      <c r="K61" s="41" t="s">
        <v>710</v>
      </c>
      <c r="L61" s="41" t="s">
        <v>719</v>
      </c>
      <c r="M61" s="41">
        <v>0</v>
      </c>
      <c r="N61" s="44"/>
    </row>
    <row r="62" customHeight="1" spans="1:14">
      <c r="A62" s="38">
        <v>751</v>
      </c>
      <c r="B62" s="39" t="s">
        <v>772</v>
      </c>
      <c r="C62" s="39" t="s">
        <v>691</v>
      </c>
      <c r="D62" s="39" t="s">
        <v>644</v>
      </c>
      <c r="E62" s="39" t="s">
        <v>658</v>
      </c>
      <c r="F62" s="39" t="s">
        <v>773</v>
      </c>
      <c r="G62" s="39" t="s">
        <v>653</v>
      </c>
      <c r="H62" s="39" t="s">
        <v>727</v>
      </c>
      <c r="I62" s="39" t="s">
        <v>700</v>
      </c>
      <c r="J62" s="39" t="s">
        <v>709</v>
      </c>
      <c r="K62" s="39" t="s">
        <v>689</v>
      </c>
      <c r="L62" s="39" t="s">
        <v>715</v>
      </c>
      <c r="M62" s="39">
        <v>0</v>
      </c>
      <c r="N62" s="43"/>
    </row>
    <row r="63" customHeight="1" spans="1:14">
      <c r="A63" s="40">
        <v>752</v>
      </c>
      <c r="B63" s="41" t="s">
        <v>774</v>
      </c>
      <c r="C63" s="41" t="s">
        <v>674</v>
      </c>
      <c r="D63" s="41" t="s">
        <v>640</v>
      </c>
      <c r="E63" s="41" t="s">
        <v>658</v>
      </c>
      <c r="F63" s="41" t="s">
        <v>775</v>
      </c>
      <c r="G63" s="41" t="s">
        <v>656</v>
      </c>
      <c r="H63" s="41" t="s">
        <v>683</v>
      </c>
      <c r="I63" s="41" t="s">
        <v>700</v>
      </c>
      <c r="J63" s="41" t="s">
        <v>678</v>
      </c>
      <c r="K63" s="41" t="s">
        <v>732</v>
      </c>
      <c r="L63" s="41" t="s">
        <v>719</v>
      </c>
      <c r="M63" s="41">
        <v>0</v>
      </c>
      <c r="N63" s="44"/>
    </row>
    <row r="64" customHeight="1" spans="1:14">
      <c r="A64" s="38">
        <v>753</v>
      </c>
      <c r="B64" s="39" t="s">
        <v>776</v>
      </c>
      <c r="C64" s="39" t="s">
        <v>691</v>
      </c>
      <c r="D64" s="39" t="s">
        <v>645</v>
      </c>
      <c r="E64" s="39" t="s">
        <v>657</v>
      </c>
      <c r="F64" s="39" t="s">
        <v>777</v>
      </c>
      <c r="G64" s="39" t="s">
        <v>653</v>
      </c>
      <c r="H64" s="39" t="s">
        <v>707</v>
      </c>
      <c r="I64" s="39" t="s">
        <v>708</v>
      </c>
      <c r="J64" s="39" t="s">
        <v>678</v>
      </c>
      <c r="K64" s="39" t="s">
        <v>689</v>
      </c>
      <c r="L64" s="39" t="s">
        <v>695</v>
      </c>
      <c r="M64" s="39">
        <v>0.6</v>
      </c>
      <c r="N64" s="43"/>
    </row>
    <row r="65" customHeight="1" spans="1:14">
      <c r="A65" s="40">
        <v>754</v>
      </c>
      <c r="B65" s="41" t="s">
        <v>778</v>
      </c>
      <c r="C65" s="41" t="s">
        <v>691</v>
      </c>
      <c r="D65" s="41" t="s">
        <v>646</v>
      </c>
      <c r="E65" s="41" t="s">
        <v>651</v>
      </c>
      <c r="F65" s="41" t="s">
        <v>779</v>
      </c>
      <c r="G65" s="41" t="s">
        <v>654</v>
      </c>
      <c r="H65" s="41" t="s">
        <v>683</v>
      </c>
      <c r="I65" s="41" t="s">
        <v>688</v>
      </c>
      <c r="J65" s="41" t="s">
        <v>678</v>
      </c>
      <c r="K65" s="41" t="s">
        <v>694</v>
      </c>
      <c r="L65" s="41" t="s">
        <v>719</v>
      </c>
      <c r="M65" s="41">
        <v>0</v>
      </c>
      <c r="N65" s="44"/>
    </row>
    <row r="66" customHeight="1" spans="1:14">
      <c r="A66" s="38">
        <v>755</v>
      </c>
      <c r="B66" s="39" t="s">
        <v>780</v>
      </c>
      <c r="C66" s="39" t="s">
        <v>691</v>
      </c>
      <c r="D66" s="39" t="s">
        <v>647</v>
      </c>
      <c r="E66" s="39" t="s">
        <v>658</v>
      </c>
      <c r="F66" s="39" t="s">
        <v>781</v>
      </c>
      <c r="G66" s="39" t="s">
        <v>654</v>
      </c>
      <c r="H66" s="39" t="s">
        <v>727</v>
      </c>
      <c r="I66" s="39" t="s">
        <v>708</v>
      </c>
      <c r="J66" s="39" t="s">
        <v>678</v>
      </c>
      <c r="K66" s="39" t="s">
        <v>679</v>
      </c>
      <c r="L66" s="39" t="s">
        <v>680</v>
      </c>
      <c r="M66" s="39">
        <v>0.9</v>
      </c>
      <c r="N66" s="43"/>
    </row>
    <row r="67" customHeight="1" spans="1:14">
      <c r="A67" s="40">
        <v>756</v>
      </c>
      <c r="B67" s="41" t="s">
        <v>782</v>
      </c>
      <c r="C67" s="41" t="s">
        <v>691</v>
      </c>
      <c r="D67" s="41" t="s">
        <v>641</v>
      </c>
      <c r="E67" s="41" t="s">
        <v>657</v>
      </c>
      <c r="F67" s="41" t="s">
        <v>783</v>
      </c>
      <c r="G67" s="41" t="s">
        <v>656</v>
      </c>
      <c r="H67" s="41" t="s">
        <v>687</v>
      </c>
      <c r="I67" s="41" t="s">
        <v>693</v>
      </c>
      <c r="J67" s="41" t="s">
        <v>709</v>
      </c>
      <c r="K67" s="41" t="s">
        <v>689</v>
      </c>
      <c r="L67" s="41" t="s">
        <v>715</v>
      </c>
      <c r="M67" s="41">
        <v>0</v>
      </c>
      <c r="N67" s="44"/>
    </row>
    <row r="68" customHeight="1" spans="1:14">
      <c r="A68" s="38">
        <v>757</v>
      </c>
      <c r="B68" s="39" t="s">
        <v>784</v>
      </c>
      <c r="C68" s="39" t="s">
        <v>691</v>
      </c>
      <c r="D68" s="39" t="s">
        <v>641</v>
      </c>
      <c r="E68" s="39" t="s">
        <v>658</v>
      </c>
      <c r="F68" s="39" t="s">
        <v>785</v>
      </c>
      <c r="G68" s="39" t="s">
        <v>654</v>
      </c>
      <c r="H68" s="39" t="s">
        <v>727</v>
      </c>
      <c r="I68" s="39" t="s">
        <v>708</v>
      </c>
      <c r="J68" s="39" t="s">
        <v>678</v>
      </c>
      <c r="K68" s="39" t="s">
        <v>732</v>
      </c>
      <c r="L68" s="39" t="s">
        <v>715</v>
      </c>
      <c r="M68" s="39">
        <v>0</v>
      </c>
      <c r="N68" s="43"/>
    </row>
    <row r="69" customHeight="1" spans="1:14">
      <c r="A69" s="40">
        <v>758</v>
      </c>
      <c r="B69" s="41" t="s">
        <v>786</v>
      </c>
      <c r="C69" s="41" t="s">
        <v>691</v>
      </c>
      <c r="D69" s="41" t="s">
        <v>646</v>
      </c>
      <c r="E69" s="41" t="s">
        <v>658</v>
      </c>
      <c r="F69" s="41" t="s">
        <v>787</v>
      </c>
      <c r="G69" s="41" t="s">
        <v>654</v>
      </c>
      <c r="H69" s="41" t="s">
        <v>718</v>
      </c>
      <c r="I69" s="41" t="s">
        <v>693</v>
      </c>
      <c r="J69" s="41" t="s">
        <v>678</v>
      </c>
      <c r="K69" s="41" t="s">
        <v>694</v>
      </c>
      <c r="L69" s="41" t="s">
        <v>680</v>
      </c>
      <c r="M69" s="41">
        <v>0.9</v>
      </c>
      <c r="N69" s="44"/>
    </row>
    <row r="70" customHeight="1" spans="1:14">
      <c r="A70" s="38">
        <v>759</v>
      </c>
      <c r="B70" s="39" t="s">
        <v>788</v>
      </c>
      <c r="C70" s="39" t="s">
        <v>691</v>
      </c>
      <c r="D70" s="39" t="s">
        <v>646</v>
      </c>
      <c r="E70" s="39" t="s">
        <v>651</v>
      </c>
      <c r="F70" s="39" t="s">
        <v>789</v>
      </c>
      <c r="G70" s="39" t="s">
        <v>652</v>
      </c>
      <c r="H70" s="39" t="s">
        <v>727</v>
      </c>
      <c r="I70" s="39" t="s">
        <v>688</v>
      </c>
      <c r="J70" s="39" t="s">
        <v>678</v>
      </c>
      <c r="K70" s="39" t="s">
        <v>710</v>
      </c>
      <c r="L70" s="39" t="s">
        <v>743</v>
      </c>
      <c r="M70" s="39">
        <v>0</v>
      </c>
      <c r="N70" s="43"/>
    </row>
    <row r="71" customHeight="1" spans="1:14">
      <c r="A71" s="40">
        <v>760</v>
      </c>
      <c r="B71" s="41" t="s">
        <v>790</v>
      </c>
      <c r="C71" s="41" t="s">
        <v>691</v>
      </c>
      <c r="D71" s="41" t="s">
        <v>645</v>
      </c>
      <c r="E71" s="41" t="s">
        <v>658</v>
      </c>
      <c r="F71" s="41" t="s">
        <v>791</v>
      </c>
      <c r="G71" s="41" t="s">
        <v>655</v>
      </c>
      <c r="H71" s="41" t="s">
        <v>718</v>
      </c>
      <c r="I71" s="41" t="s">
        <v>677</v>
      </c>
      <c r="J71" s="41" t="s">
        <v>678</v>
      </c>
      <c r="K71" s="41" t="s">
        <v>701</v>
      </c>
      <c r="L71" s="41" t="s">
        <v>719</v>
      </c>
      <c r="M71" s="41">
        <v>0</v>
      </c>
      <c r="N71" s="44"/>
    </row>
    <row r="72" customHeight="1" spans="1:14">
      <c r="A72" s="38">
        <v>761</v>
      </c>
      <c r="B72" s="39" t="s">
        <v>792</v>
      </c>
      <c r="C72" s="39" t="s">
        <v>691</v>
      </c>
      <c r="D72" s="39" t="s">
        <v>642</v>
      </c>
      <c r="E72" s="39" t="s">
        <v>657</v>
      </c>
      <c r="F72" s="39" t="s">
        <v>793</v>
      </c>
      <c r="G72" s="39" t="s">
        <v>655</v>
      </c>
      <c r="H72" s="39" t="s">
        <v>687</v>
      </c>
      <c r="I72" s="39" t="s">
        <v>700</v>
      </c>
      <c r="J72" s="39" t="s">
        <v>709</v>
      </c>
      <c r="K72" s="39" t="s">
        <v>689</v>
      </c>
      <c r="L72" s="39" t="s">
        <v>695</v>
      </c>
      <c r="M72" s="39">
        <v>0.6</v>
      </c>
      <c r="N72" s="43"/>
    </row>
    <row r="73" customHeight="1" spans="1:14">
      <c r="A73" s="40">
        <v>762</v>
      </c>
      <c r="B73" s="41" t="s">
        <v>794</v>
      </c>
      <c r="C73" s="41" t="s">
        <v>674</v>
      </c>
      <c r="D73" s="41" t="s">
        <v>647</v>
      </c>
      <c r="E73" s="41" t="s">
        <v>657</v>
      </c>
      <c r="F73" s="41" t="s">
        <v>795</v>
      </c>
      <c r="G73" s="41" t="s">
        <v>655</v>
      </c>
      <c r="H73" s="41" t="s">
        <v>727</v>
      </c>
      <c r="I73" s="41" t="s">
        <v>688</v>
      </c>
      <c r="J73" s="41" t="s">
        <v>678</v>
      </c>
      <c r="K73" s="41" t="s">
        <v>701</v>
      </c>
      <c r="L73" s="41" t="s">
        <v>715</v>
      </c>
      <c r="M73" s="41">
        <v>0</v>
      </c>
      <c r="N73" s="44"/>
    </row>
    <row r="74" customHeight="1" spans="1:14">
      <c r="A74" s="38">
        <v>763</v>
      </c>
      <c r="B74" s="39" t="s">
        <v>796</v>
      </c>
      <c r="C74" s="39" t="s">
        <v>674</v>
      </c>
      <c r="D74" s="39" t="s">
        <v>647</v>
      </c>
      <c r="E74" s="39" t="s">
        <v>658</v>
      </c>
      <c r="F74" s="39" t="s">
        <v>797</v>
      </c>
      <c r="G74" s="39" t="s">
        <v>656</v>
      </c>
      <c r="H74" s="39" t="s">
        <v>722</v>
      </c>
      <c r="I74" s="39" t="s">
        <v>708</v>
      </c>
      <c r="J74" s="39" t="s">
        <v>678</v>
      </c>
      <c r="K74" s="39" t="s">
        <v>710</v>
      </c>
      <c r="L74" s="39" t="s">
        <v>743</v>
      </c>
      <c r="M74" s="39">
        <v>0</v>
      </c>
      <c r="N74" s="43"/>
    </row>
    <row r="75" customHeight="1" spans="1:14">
      <c r="A75" s="40">
        <v>764</v>
      </c>
      <c r="B75" s="41" t="s">
        <v>798</v>
      </c>
      <c r="C75" s="41" t="s">
        <v>691</v>
      </c>
      <c r="D75" s="41" t="s">
        <v>642</v>
      </c>
      <c r="E75" s="41" t="s">
        <v>658</v>
      </c>
      <c r="F75" s="41" t="s">
        <v>799</v>
      </c>
      <c r="G75" s="41" t="s">
        <v>655</v>
      </c>
      <c r="H75" s="41" t="s">
        <v>676</v>
      </c>
      <c r="I75" s="41" t="s">
        <v>700</v>
      </c>
      <c r="J75" s="41" t="s">
        <v>678</v>
      </c>
      <c r="K75" s="41" t="s">
        <v>701</v>
      </c>
      <c r="L75" s="41" t="s">
        <v>719</v>
      </c>
      <c r="M75" s="41">
        <v>0</v>
      </c>
      <c r="N75" s="44"/>
    </row>
    <row r="76" customHeight="1" spans="1:14">
      <c r="A76" s="38">
        <v>765</v>
      </c>
      <c r="B76" s="39" t="s">
        <v>800</v>
      </c>
      <c r="C76" s="39" t="s">
        <v>674</v>
      </c>
      <c r="D76" s="39" t="s">
        <v>641</v>
      </c>
      <c r="E76" s="39" t="s">
        <v>657</v>
      </c>
      <c r="F76" s="39" t="s">
        <v>801</v>
      </c>
      <c r="G76" s="39" t="s">
        <v>656</v>
      </c>
      <c r="H76" s="39" t="s">
        <v>718</v>
      </c>
      <c r="I76" s="39" t="s">
        <v>677</v>
      </c>
      <c r="J76" s="39" t="s">
        <v>709</v>
      </c>
      <c r="K76" s="39" t="s">
        <v>689</v>
      </c>
      <c r="L76" s="39" t="s">
        <v>719</v>
      </c>
      <c r="M76" s="39">
        <v>0</v>
      </c>
      <c r="N76" s="43"/>
    </row>
    <row r="77" customHeight="1" spans="1:14">
      <c r="A77" s="40">
        <v>766</v>
      </c>
      <c r="B77" s="41" t="s">
        <v>802</v>
      </c>
      <c r="C77" s="41" t="s">
        <v>691</v>
      </c>
      <c r="D77" s="41" t="s">
        <v>647</v>
      </c>
      <c r="E77" s="41" t="s">
        <v>657</v>
      </c>
      <c r="F77" s="41" t="s">
        <v>803</v>
      </c>
      <c r="G77" s="41" t="s">
        <v>656</v>
      </c>
      <c r="H77" s="41" t="s">
        <v>687</v>
      </c>
      <c r="I77" s="41" t="s">
        <v>700</v>
      </c>
      <c r="J77" s="41" t="s">
        <v>709</v>
      </c>
      <c r="K77" s="41" t="s">
        <v>694</v>
      </c>
      <c r="L77" s="41" t="s">
        <v>743</v>
      </c>
      <c r="M77" s="41">
        <v>0</v>
      </c>
      <c r="N77" s="44"/>
    </row>
    <row r="78" customHeight="1" spans="1:14">
      <c r="A78" s="38">
        <v>767</v>
      </c>
      <c r="B78" s="39" t="s">
        <v>804</v>
      </c>
      <c r="C78" s="39" t="s">
        <v>691</v>
      </c>
      <c r="D78" s="39" t="s">
        <v>646</v>
      </c>
      <c r="E78" s="39" t="s">
        <v>657</v>
      </c>
      <c r="F78" s="39" t="s">
        <v>805</v>
      </c>
      <c r="G78" s="39" t="s">
        <v>654</v>
      </c>
      <c r="H78" s="39" t="s">
        <v>707</v>
      </c>
      <c r="I78" s="39" t="s">
        <v>688</v>
      </c>
      <c r="J78" s="39" t="s">
        <v>678</v>
      </c>
      <c r="K78" s="39" t="s">
        <v>679</v>
      </c>
      <c r="L78" s="39" t="s">
        <v>680</v>
      </c>
      <c r="M78" s="39">
        <v>0.9</v>
      </c>
      <c r="N78" s="43"/>
    </row>
    <row r="79" customHeight="1" spans="1:14">
      <c r="A79" s="40">
        <v>768</v>
      </c>
      <c r="B79" s="41" t="s">
        <v>806</v>
      </c>
      <c r="C79" s="41" t="s">
        <v>674</v>
      </c>
      <c r="D79" s="41" t="s">
        <v>649</v>
      </c>
      <c r="E79" s="41" t="s">
        <v>651</v>
      </c>
      <c r="F79" s="41" t="s">
        <v>807</v>
      </c>
      <c r="G79" s="41" t="s">
        <v>656</v>
      </c>
      <c r="H79" s="41" t="s">
        <v>727</v>
      </c>
      <c r="I79" s="41" t="s">
        <v>693</v>
      </c>
      <c r="J79" s="41" t="s">
        <v>678</v>
      </c>
      <c r="K79" s="41" t="s">
        <v>701</v>
      </c>
      <c r="L79" s="41" t="s">
        <v>719</v>
      </c>
      <c r="M79" s="41">
        <v>0</v>
      </c>
      <c r="N79" s="44"/>
    </row>
    <row r="80" customHeight="1" spans="1:14">
      <c r="A80" s="38">
        <v>769</v>
      </c>
      <c r="B80" s="39" t="s">
        <v>768</v>
      </c>
      <c r="C80" s="39" t="s">
        <v>674</v>
      </c>
      <c r="D80" s="39" t="s">
        <v>647</v>
      </c>
      <c r="E80" s="39" t="s">
        <v>657</v>
      </c>
      <c r="F80" s="39" t="s">
        <v>808</v>
      </c>
      <c r="G80" s="39" t="s">
        <v>654</v>
      </c>
      <c r="H80" s="39" t="s">
        <v>727</v>
      </c>
      <c r="I80" s="39" t="s">
        <v>700</v>
      </c>
      <c r="J80" s="39" t="s">
        <v>678</v>
      </c>
      <c r="K80" s="39" t="s">
        <v>694</v>
      </c>
      <c r="L80" s="39" t="s">
        <v>680</v>
      </c>
      <c r="M80" s="39">
        <v>0.9</v>
      </c>
      <c r="N80" s="43"/>
    </row>
    <row r="81" customHeight="1" spans="1:14">
      <c r="A81" s="40">
        <v>770</v>
      </c>
      <c r="B81" s="41" t="s">
        <v>809</v>
      </c>
      <c r="C81" s="41" t="s">
        <v>691</v>
      </c>
      <c r="D81" s="41" t="s">
        <v>647</v>
      </c>
      <c r="E81" s="41" t="s">
        <v>658</v>
      </c>
      <c r="F81" s="41" t="s">
        <v>810</v>
      </c>
      <c r="G81" s="41" t="s">
        <v>654</v>
      </c>
      <c r="H81" s="41" t="s">
        <v>676</v>
      </c>
      <c r="I81" s="41" t="s">
        <v>700</v>
      </c>
      <c r="J81" s="41" t="s">
        <v>678</v>
      </c>
      <c r="K81" s="41" t="s">
        <v>679</v>
      </c>
      <c r="L81" s="41" t="s">
        <v>684</v>
      </c>
      <c r="M81" s="41">
        <v>0.85</v>
      </c>
      <c r="N81" s="44"/>
    </row>
    <row r="82" customHeight="1" spans="1:14">
      <c r="A82" s="38">
        <v>771</v>
      </c>
      <c r="B82" s="39" t="s">
        <v>782</v>
      </c>
      <c r="C82" s="39" t="s">
        <v>691</v>
      </c>
      <c r="D82" s="39" t="s">
        <v>641</v>
      </c>
      <c r="E82" s="39" t="s">
        <v>657</v>
      </c>
      <c r="F82" s="39" t="s">
        <v>811</v>
      </c>
      <c r="G82" s="39" t="s">
        <v>656</v>
      </c>
      <c r="H82" s="39" t="s">
        <v>687</v>
      </c>
      <c r="I82" s="39" t="s">
        <v>708</v>
      </c>
      <c r="J82" s="39" t="s">
        <v>678</v>
      </c>
      <c r="K82" s="39" t="s">
        <v>710</v>
      </c>
      <c r="L82" s="39" t="s">
        <v>743</v>
      </c>
      <c r="M82" s="39">
        <v>0</v>
      </c>
      <c r="N82" s="43"/>
    </row>
    <row r="83" customHeight="1" spans="1:14">
      <c r="A83" s="40">
        <v>772</v>
      </c>
      <c r="B83" s="41" t="s">
        <v>812</v>
      </c>
      <c r="C83" s="41" t="s">
        <v>691</v>
      </c>
      <c r="D83" s="41" t="s">
        <v>646</v>
      </c>
      <c r="E83" s="41" t="s">
        <v>658</v>
      </c>
      <c r="F83" s="41" t="s">
        <v>813</v>
      </c>
      <c r="G83" s="41" t="s">
        <v>655</v>
      </c>
      <c r="H83" s="41" t="s">
        <v>727</v>
      </c>
      <c r="I83" s="41" t="s">
        <v>688</v>
      </c>
      <c r="J83" s="41" t="s">
        <v>678</v>
      </c>
      <c r="K83" s="41" t="s">
        <v>689</v>
      </c>
      <c r="L83" s="41" t="s">
        <v>680</v>
      </c>
      <c r="M83" s="41">
        <v>0.9</v>
      </c>
      <c r="N83" s="44"/>
    </row>
    <row r="84" customHeight="1" spans="1:14">
      <c r="A84" s="38">
        <v>773</v>
      </c>
      <c r="B84" s="39" t="s">
        <v>814</v>
      </c>
      <c r="C84" s="39" t="s">
        <v>691</v>
      </c>
      <c r="D84" s="39" t="s">
        <v>646</v>
      </c>
      <c r="E84" s="39" t="s">
        <v>658</v>
      </c>
      <c r="F84" s="39" t="s">
        <v>815</v>
      </c>
      <c r="G84" s="39" t="s">
        <v>654</v>
      </c>
      <c r="H84" s="39" t="s">
        <v>683</v>
      </c>
      <c r="I84" s="39" t="s">
        <v>688</v>
      </c>
      <c r="J84" s="39" t="s">
        <v>678</v>
      </c>
      <c r="K84" s="39" t="s">
        <v>689</v>
      </c>
      <c r="L84" s="39" t="s">
        <v>743</v>
      </c>
      <c r="M84" s="39">
        <v>0</v>
      </c>
      <c r="N84" s="43"/>
    </row>
    <row r="85" customHeight="1" spans="1:14">
      <c r="A85" s="40">
        <v>774</v>
      </c>
      <c r="B85" s="41" t="s">
        <v>816</v>
      </c>
      <c r="C85" s="41" t="s">
        <v>674</v>
      </c>
      <c r="D85" s="41" t="s">
        <v>639</v>
      </c>
      <c r="E85" s="41" t="s">
        <v>658</v>
      </c>
      <c r="F85" s="41" t="s">
        <v>817</v>
      </c>
      <c r="G85" s="41" t="s">
        <v>654</v>
      </c>
      <c r="H85" s="41" t="s">
        <v>687</v>
      </c>
      <c r="I85" s="41" t="s">
        <v>693</v>
      </c>
      <c r="J85" s="41" t="s">
        <v>678</v>
      </c>
      <c r="K85" s="41" t="s">
        <v>689</v>
      </c>
      <c r="L85" s="41" t="s">
        <v>743</v>
      </c>
      <c r="M85" s="41">
        <v>0</v>
      </c>
      <c r="N85" s="44"/>
    </row>
    <row r="86" customHeight="1" spans="1:14">
      <c r="A86" s="38">
        <v>775</v>
      </c>
      <c r="B86" s="39" t="s">
        <v>818</v>
      </c>
      <c r="C86" s="39" t="s">
        <v>691</v>
      </c>
      <c r="D86" s="39" t="s">
        <v>647</v>
      </c>
      <c r="E86" s="39" t="s">
        <v>658</v>
      </c>
      <c r="F86" s="39" t="s">
        <v>819</v>
      </c>
      <c r="G86" s="39" t="s">
        <v>655</v>
      </c>
      <c r="H86" s="39" t="s">
        <v>718</v>
      </c>
      <c r="I86" s="39" t="s">
        <v>677</v>
      </c>
      <c r="J86" s="39" t="s">
        <v>709</v>
      </c>
      <c r="K86" s="39" t="s">
        <v>732</v>
      </c>
      <c r="L86" s="39" t="s">
        <v>719</v>
      </c>
      <c r="M86" s="39">
        <v>0</v>
      </c>
      <c r="N86" s="43"/>
    </row>
    <row r="87" customHeight="1" spans="1:14">
      <c r="A87" s="40">
        <v>776</v>
      </c>
      <c r="B87" s="41" t="s">
        <v>820</v>
      </c>
      <c r="C87" s="41" t="s">
        <v>691</v>
      </c>
      <c r="D87" s="41" t="s">
        <v>641</v>
      </c>
      <c r="E87" s="41" t="s">
        <v>658</v>
      </c>
      <c r="F87" s="41" t="s">
        <v>821</v>
      </c>
      <c r="G87" s="41" t="s">
        <v>654</v>
      </c>
      <c r="H87" s="41" t="s">
        <v>707</v>
      </c>
      <c r="I87" s="41" t="s">
        <v>677</v>
      </c>
      <c r="J87" s="41" t="s">
        <v>678</v>
      </c>
      <c r="K87" s="41" t="s">
        <v>710</v>
      </c>
      <c r="L87" s="41" t="s">
        <v>743</v>
      </c>
      <c r="M87" s="41">
        <v>0</v>
      </c>
      <c r="N87" s="44"/>
    </row>
    <row r="88" customHeight="1" spans="1:14">
      <c r="A88" s="38">
        <v>777</v>
      </c>
      <c r="B88" s="39" t="s">
        <v>746</v>
      </c>
      <c r="C88" s="39" t="s">
        <v>691</v>
      </c>
      <c r="D88" s="39" t="s">
        <v>645</v>
      </c>
      <c r="E88" s="39" t="s">
        <v>657</v>
      </c>
      <c r="F88" s="39" t="s">
        <v>822</v>
      </c>
      <c r="G88" s="39" t="s">
        <v>655</v>
      </c>
      <c r="H88" s="39" t="s">
        <v>722</v>
      </c>
      <c r="I88" s="39" t="s">
        <v>688</v>
      </c>
      <c r="J88" s="39" t="s">
        <v>709</v>
      </c>
      <c r="K88" s="39" t="s">
        <v>710</v>
      </c>
      <c r="L88" s="39" t="s">
        <v>684</v>
      </c>
      <c r="M88" s="39">
        <v>0.85</v>
      </c>
      <c r="N88" s="43"/>
    </row>
    <row r="89" customHeight="1" spans="1:14">
      <c r="A89" s="40">
        <v>778</v>
      </c>
      <c r="B89" s="41" t="s">
        <v>823</v>
      </c>
      <c r="C89" s="41" t="s">
        <v>691</v>
      </c>
      <c r="D89" s="41" t="s">
        <v>647</v>
      </c>
      <c r="E89" s="41" t="s">
        <v>657</v>
      </c>
      <c r="F89" s="41" t="s">
        <v>824</v>
      </c>
      <c r="G89" s="41" t="s">
        <v>653</v>
      </c>
      <c r="H89" s="41" t="s">
        <v>727</v>
      </c>
      <c r="I89" s="41" t="s">
        <v>700</v>
      </c>
      <c r="J89" s="41" t="s">
        <v>709</v>
      </c>
      <c r="K89" s="41" t="s">
        <v>701</v>
      </c>
      <c r="L89" s="41" t="s">
        <v>684</v>
      </c>
      <c r="M89" s="41">
        <v>0.85</v>
      </c>
      <c r="N89" s="44"/>
    </row>
    <row r="90" customHeight="1" spans="1:14">
      <c r="A90" s="38">
        <v>779</v>
      </c>
      <c r="B90" s="39" t="s">
        <v>825</v>
      </c>
      <c r="C90" s="39" t="s">
        <v>691</v>
      </c>
      <c r="D90" s="39" t="s">
        <v>642</v>
      </c>
      <c r="E90" s="39" t="s">
        <v>657</v>
      </c>
      <c r="F90" s="39" t="s">
        <v>826</v>
      </c>
      <c r="G90" s="39" t="s">
        <v>654</v>
      </c>
      <c r="H90" s="39" t="s">
        <v>676</v>
      </c>
      <c r="I90" s="39" t="s">
        <v>708</v>
      </c>
      <c r="J90" s="39" t="s">
        <v>678</v>
      </c>
      <c r="K90" s="39" t="s">
        <v>710</v>
      </c>
      <c r="L90" s="39" t="s">
        <v>695</v>
      </c>
      <c r="M90" s="39">
        <v>0.6</v>
      </c>
      <c r="N90" s="43"/>
    </row>
    <row r="91" customHeight="1" spans="1:14">
      <c r="A91" s="40">
        <v>780</v>
      </c>
      <c r="B91" s="41" t="s">
        <v>827</v>
      </c>
      <c r="C91" s="41" t="s">
        <v>674</v>
      </c>
      <c r="D91" s="41" t="s">
        <v>642</v>
      </c>
      <c r="E91" s="41" t="s">
        <v>658</v>
      </c>
      <c r="F91" s="41" t="s">
        <v>828</v>
      </c>
      <c r="G91" s="41" t="s">
        <v>654</v>
      </c>
      <c r="H91" s="41" t="s">
        <v>676</v>
      </c>
      <c r="I91" s="41" t="s">
        <v>688</v>
      </c>
      <c r="J91" s="41" t="s">
        <v>678</v>
      </c>
      <c r="K91" s="41" t="s">
        <v>679</v>
      </c>
      <c r="L91" s="41" t="s">
        <v>719</v>
      </c>
      <c r="M91" s="41">
        <v>0</v>
      </c>
      <c r="N91" s="44"/>
    </row>
    <row r="92" customHeight="1" spans="1:14">
      <c r="A92" s="38">
        <v>781</v>
      </c>
      <c r="B92" s="39" t="s">
        <v>764</v>
      </c>
      <c r="C92" s="39" t="s">
        <v>674</v>
      </c>
      <c r="D92" s="39" t="s">
        <v>647</v>
      </c>
      <c r="E92" s="39" t="s">
        <v>651</v>
      </c>
      <c r="F92" s="39" t="s">
        <v>829</v>
      </c>
      <c r="G92" s="39" t="s">
        <v>654</v>
      </c>
      <c r="H92" s="39" t="s">
        <v>707</v>
      </c>
      <c r="I92" s="39" t="s">
        <v>693</v>
      </c>
      <c r="J92" s="39" t="s">
        <v>678</v>
      </c>
      <c r="K92" s="39" t="s">
        <v>694</v>
      </c>
      <c r="L92" s="39" t="s">
        <v>715</v>
      </c>
      <c r="M92" s="39">
        <v>0</v>
      </c>
      <c r="N92" s="43"/>
    </row>
    <row r="93" customHeight="1" spans="1:14">
      <c r="A93" s="40">
        <v>782</v>
      </c>
      <c r="B93" s="41" t="s">
        <v>830</v>
      </c>
      <c r="C93" s="41" t="s">
        <v>691</v>
      </c>
      <c r="D93" s="41" t="s">
        <v>646</v>
      </c>
      <c r="E93" s="41" t="s">
        <v>657</v>
      </c>
      <c r="F93" s="41" t="s">
        <v>831</v>
      </c>
      <c r="G93" s="41" t="s">
        <v>655</v>
      </c>
      <c r="H93" s="41" t="s">
        <v>676</v>
      </c>
      <c r="I93" s="41" t="s">
        <v>677</v>
      </c>
      <c r="J93" s="41" t="s">
        <v>709</v>
      </c>
      <c r="K93" s="41" t="s">
        <v>732</v>
      </c>
      <c r="L93" s="41" t="s">
        <v>743</v>
      </c>
      <c r="M93" s="41">
        <v>0</v>
      </c>
      <c r="N93" s="44"/>
    </row>
    <row r="94" customHeight="1" spans="1:14">
      <c r="A94" s="38">
        <v>783</v>
      </c>
      <c r="B94" s="39" t="s">
        <v>832</v>
      </c>
      <c r="C94" s="39" t="s">
        <v>691</v>
      </c>
      <c r="D94" s="39" t="s">
        <v>649</v>
      </c>
      <c r="E94" s="39" t="s">
        <v>657</v>
      </c>
      <c r="F94" s="39" t="s">
        <v>833</v>
      </c>
      <c r="G94" s="39" t="s">
        <v>656</v>
      </c>
      <c r="H94" s="39" t="s">
        <v>683</v>
      </c>
      <c r="I94" s="39" t="s">
        <v>693</v>
      </c>
      <c r="J94" s="39" t="s">
        <v>678</v>
      </c>
      <c r="K94" s="39" t="s">
        <v>710</v>
      </c>
      <c r="L94" s="39" t="s">
        <v>743</v>
      </c>
      <c r="M94" s="39">
        <v>0</v>
      </c>
      <c r="N94" s="43"/>
    </row>
    <row r="95" customHeight="1" spans="1:14">
      <c r="A95" s="40">
        <v>784</v>
      </c>
      <c r="B95" s="41" t="s">
        <v>834</v>
      </c>
      <c r="C95" s="41" t="s">
        <v>691</v>
      </c>
      <c r="D95" s="41" t="s">
        <v>649</v>
      </c>
      <c r="E95" s="41" t="s">
        <v>657</v>
      </c>
      <c r="F95" s="41" t="s">
        <v>835</v>
      </c>
      <c r="G95" s="41" t="s">
        <v>653</v>
      </c>
      <c r="H95" s="41" t="s">
        <v>707</v>
      </c>
      <c r="I95" s="41" t="s">
        <v>693</v>
      </c>
      <c r="J95" s="41" t="s">
        <v>678</v>
      </c>
      <c r="K95" s="41" t="s">
        <v>679</v>
      </c>
      <c r="L95" s="41" t="s">
        <v>684</v>
      </c>
      <c r="M95" s="41">
        <v>0.85</v>
      </c>
      <c r="N95" s="44"/>
    </row>
    <row r="96" customHeight="1" spans="1:14">
      <c r="A96" s="38">
        <v>785</v>
      </c>
      <c r="B96" s="39" t="s">
        <v>836</v>
      </c>
      <c r="C96" s="39" t="s">
        <v>691</v>
      </c>
      <c r="D96" s="39" t="s">
        <v>647</v>
      </c>
      <c r="E96" s="39" t="s">
        <v>657</v>
      </c>
      <c r="F96" s="39" t="s">
        <v>837</v>
      </c>
      <c r="G96" s="39" t="s">
        <v>652</v>
      </c>
      <c r="H96" s="39" t="s">
        <v>687</v>
      </c>
      <c r="I96" s="39" t="s">
        <v>677</v>
      </c>
      <c r="J96" s="39" t="s">
        <v>678</v>
      </c>
      <c r="K96" s="39" t="s">
        <v>732</v>
      </c>
      <c r="L96" s="39" t="s">
        <v>695</v>
      </c>
      <c r="M96" s="39">
        <v>0.6</v>
      </c>
      <c r="N96" s="43"/>
    </row>
    <row r="97" customHeight="1" spans="1:14">
      <c r="A97" s="40">
        <v>786</v>
      </c>
      <c r="B97" s="41" t="s">
        <v>838</v>
      </c>
      <c r="C97" s="41" t="s">
        <v>674</v>
      </c>
      <c r="D97" s="41" t="s">
        <v>645</v>
      </c>
      <c r="E97" s="41" t="s">
        <v>657</v>
      </c>
      <c r="F97" s="41" t="s">
        <v>839</v>
      </c>
      <c r="G97" s="41" t="s">
        <v>652</v>
      </c>
      <c r="H97" s="41" t="s">
        <v>687</v>
      </c>
      <c r="I97" s="41" t="s">
        <v>693</v>
      </c>
      <c r="J97" s="41" t="s">
        <v>678</v>
      </c>
      <c r="K97" s="41" t="s">
        <v>679</v>
      </c>
      <c r="L97" s="41" t="s">
        <v>695</v>
      </c>
      <c r="M97" s="41">
        <v>0.6</v>
      </c>
      <c r="N97" s="44"/>
    </row>
    <row r="98" customHeight="1" spans="1:14">
      <c r="A98" s="38">
        <v>787</v>
      </c>
      <c r="B98" s="39" t="s">
        <v>802</v>
      </c>
      <c r="C98" s="39" t="s">
        <v>691</v>
      </c>
      <c r="D98" s="39" t="s">
        <v>647</v>
      </c>
      <c r="E98" s="39" t="s">
        <v>657</v>
      </c>
      <c r="F98" s="39" t="s">
        <v>840</v>
      </c>
      <c r="G98" s="39" t="s">
        <v>655</v>
      </c>
      <c r="H98" s="39" t="s">
        <v>727</v>
      </c>
      <c r="I98" s="39" t="s">
        <v>700</v>
      </c>
      <c r="J98" s="39" t="s">
        <v>709</v>
      </c>
      <c r="K98" s="39" t="s">
        <v>732</v>
      </c>
      <c r="L98" s="39" t="s">
        <v>715</v>
      </c>
      <c r="M98" s="39">
        <v>0</v>
      </c>
      <c r="N98" s="43"/>
    </row>
    <row r="99" customHeight="1" spans="1:14">
      <c r="A99" s="40">
        <v>788</v>
      </c>
      <c r="B99" s="41" t="s">
        <v>841</v>
      </c>
      <c r="C99" s="41" t="s">
        <v>691</v>
      </c>
      <c r="D99" s="41" t="s">
        <v>641</v>
      </c>
      <c r="E99" s="41" t="s">
        <v>658</v>
      </c>
      <c r="F99" s="41" t="s">
        <v>842</v>
      </c>
      <c r="G99" s="41" t="s">
        <v>655</v>
      </c>
      <c r="H99" s="41" t="s">
        <v>718</v>
      </c>
      <c r="I99" s="41" t="s">
        <v>693</v>
      </c>
      <c r="J99" s="41" t="s">
        <v>709</v>
      </c>
      <c r="K99" s="41" t="s">
        <v>689</v>
      </c>
      <c r="L99" s="41" t="s">
        <v>715</v>
      </c>
      <c r="M99" s="41">
        <v>0</v>
      </c>
      <c r="N99" s="44"/>
    </row>
    <row r="100" customHeight="1" spans="1:14">
      <c r="A100" s="38">
        <v>789</v>
      </c>
      <c r="B100" s="39" t="s">
        <v>843</v>
      </c>
      <c r="C100" s="39" t="s">
        <v>691</v>
      </c>
      <c r="D100" s="39" t="s">
        <v>638</v>
      </c>
      <c r="E100" s="39" t="s">
        <v>657</v>
      </c>
      <c r="F100" s="39" t="s">
        <v>844</v>
      </c>
      <c r="G100" s="39" t="s">
        <v>652</v>
      </c>
      <c r="H100" s="39" t="s">
        <v>722</v>
      </c>
      <c r="I100" s="39" t="s">
        <v>677</v>
      </c>
      <c r="J100" s="39" t="s">
        <v>709</v>
      </c>
      <c r="K100" s="39" t="s">
        <v>689</v>
      </c>
      <c r="L100" s="39" t="s">
        <v>684</v>
      </c>
      <c r="M100" s="39">
        <v>0.85</v>
      </c>
      <c r="N100" s="43"/>
    </row>
    <row r="101" customHeight="1" spans="1:14">
      <c r="A101" s="40">
        <v>790</v>
      </c>
      <c r="B101" s="41" t="s">
        <v>845</v>
      </c>
      <c r="C101" s="41" t="s">
        <v>674</v>
      </c>
      <c r="D101" s="41" t="s">
        <v>646</v>
      </c>
      <c r="E101" s="41" t="s">
        <v>658</v>
      </c>
      <c r="F101" s="41" t="s">
        <v>846</v>
      </c>
      <c r="G101" s="41" t="s">
        <v>653</v>
      </c>
      <c r="H101" s="41" t="s">
        <v>683</v>
      </c>
      <c r="I101" s="41" t="s">
        <v>677</v>
      </c>
      <c r="J101" s="41" t="s">
        <v>709</v>
      </c>
      <c r="K101" s="41" t="s">
        <v>701</v>
      </c>
      <c r="L101" s="41" t="s">
        <v>719</v>
      </c>
      <c r="M101" s="41">
        <v>0</v>
      </c>
      <c r="N101" s="44"/>
    </row>
    <row r="102" customHeight="1" spans="1:14">
      <c r="A102" s="38">
        <v>791</v>
      </c>
      <c r="B102" s="39" t="s">
        <v>847</v>
      </c>
      <c r="C102" s="39" t="s">
        <v>691</v>
      </c>
      <c r="D102" s="39" t="s">
        <v>641</v>
      </c>
      <c r="E102" s="39" t="s">
        <v>657</v>
      </c>
      <c r="F102" s="39" t="s">
        <v>848</v>
      </c>
      <c r="G102" s="39" t="s">
        <v>652</v>
      </c>
      <c r="H102" s="39" t="s">
        <v>687</v>
      </c>
      <c r="I102" s="39" t="s">
        <v>688</v>
      </c>
      <c r="J102" s="39" t="s">
        <v>678</v>
      </c>
      <c r="K102" s="39" t="s">
        <v>732</v>
      </c>
      <c r="L102" s="39" t="s">
        <v>715</v>
      </c>
      <c r="M102" s="39">
        <v>0</v>
      </c>
      <c r="N102" s="43"/>
    </row>
    <row r="103" customHeight="1" spans="1:14">
      <c r="A103" s="40">
        <v>792</v>
      </c>
      <c r="B103" s="41" t="s">
        <v>849</v>
      </c>
      <c r="C103" s="41" t="s">
        <v>691</v>
      </c>
      <c r="D103" s="41" t="s">
        <v>646</v>
      </c>
      <c r="E103" s="41" t="s">
        <v>657</v>
      </c>
      <c r="F103" s="41" t="s">
        <v>850</v>
      </c>
      <c r="G103" s="41" t="s">
        <v>654</v>
      </c>
      <c r="H103" s="41" t="s">
        <v>707</v>
      </c>
      <c r="I103" s="41" t="s">
        <v>693</v>
      </c>
      <c r="J103" s="41" t="s">
        <v>678</v>
      </c>
      <c r="K103" s="41" t="s">
        <v>694</v>
      </c>
      <c r="L103" s="41" t="s">
        <v>680</v>
      </c>
      <c r="M103" s="41">
        <v>0.9</v>
      </c>
      <c r="N103" s="44"/>
    </row>
    <row r="104" customHeight="1" spans="1:14">
      <c r="A104" s="38">
        <v>793</v>
      </c>
      <c r="B104" s="39" t="s">
        <v>851</v>
      </c>
      <c r="C104" s="39" t="s">
        <v>691</v>
      </c>
      <c r="D104" s="39" t="s">
        <v>642</v>
      </c>
      <c r="E104" s="39" t="s">
        <v>658</v>
      </c>
      <c r="F104" s="39" t="s">
        <v>852</v>
      </c>
      <c r="G104" s="39" t="s">
        <v>655</v>
      </c>
      <c r="H104" s="39" t="s">
        <v>707</v>
      </c>
      <c r="I104" s="39" t="s">
        <v>700</v>
      </c>
      <c r="J104" s="39" t="s">
        <v>709</v>
      </c>
      <c r="K104" s="39" t="s">
        <v>689</v>
      </c>
      <c r="L104" s="39" t="s">
        <v>715</v>
      </c>
      <c r="M104" s="39">
        <v>0</v>
      </c>
      <c r="N104" s="43"/>
    </row>
    <row r="105" customHeight="1" spans="1:14">
      <c r="A105" s="40">
        <v>794</v>
      </c>
      <c r="B105" s="41" t="s">
        <v>690</v>
      </c>
      <c r="C105" s="41" t="s">
        <v>691</v>
      </c>
      <c r="D105" s="41" t="s">
        <v>638</v>
      </c>
      <c r="E105" s="41" t="s">
        <v>658</v>
      </c>
      <c r="F105" s="41" t="s">
        <v>853</v>
      </c>
      <c r="G105" s="41" t="s">
        <v>653</v>
      </c>
      <c r="H105" s="41" t="s">
        <v>683</v>
      </c>
      <c r="I105" s="41" t="s">
        <v>677</v>
      </c>
      <c r="J105" s="41" t="s">
        <v>678</v>
      </c>
      <c r="K105" s="41" t="s">
        <v>732</v>
      </c>
      <c r="L105" s="41" t="s">
        <v>684</v>
      </c>
      <c r="M105" s="41">
        <v>0.85</v>
      </c>
      <c r="N105" s="44"/>
    </row>
    <row r="106" customHeight="1" spans="1:14">
      <c r="A106" s="38">
        <v>795</v>
      </c>
      <c r="B106" s="39" t="s">
        <v>854</v>
      </c>
      <c r="C106" s="39" t="s">
        <v>691</v>
      </c>
      <c r="D106" s="39" t="s">
        <v>639</v>
      </c>
      <c r="E106" s="39" t="s">
        <v>658</v>
      </c>
      <c r="F106" s="39" t="s">
        <v>855</v>
      </c>
      <c r="G106" s="39" t="s">
        <v>653</v>
      </c>
      <c r="H106" s="39" t="s">
        <v>687</v>
      </c>
      <c r="I106" s="39" t="s">
        <v>708</v>
      </c>
      <c r="J106" s="39" t="s">
        <v>678</v>
      </c>
      <c r="K106" s="39" t="s">
        <v>689</v>
      </c>
      <c r="L106" s="39" t="s">
        <v>680</v>
      </c>
      <c r="M106" s="39">
        <v>0.9</v>
      </c>
      <c r="N106" s="43"/>
    </row>
    <row r="107" customHeight="1" spans="1:14">
      <c r="A107" s="40">
        <v>796</v>
      </c>
      <c r="B107" s="41" t="s">
        <v>856</v>
      </c>
      <c r="C107" s="41" t="s">
        <v>674</v>
      </c>
      <c r="D107" s="41" t="s">
        <v>645</v>
      </c>
      <c r="E107" s="41" t="s">
        <v>658</v>
      </c>
      <c r="F107" s="41" t="s">
        <v>857</v>
      </c>
      <c r="G107" s="41" t="s">
        <v>654</v>
      </c>
      <c r="H107" s="41" t="s">
        <v>707</v>
      </c>
      <c r="I107" s="41" t="s">
        <v>700</v>
      </c>
      <c r="J107" s="41" t="s">
        <v>678</v>
      </c>
      <c r="K107" s="41" t="s">
        <v>679</v>
      </c>
      <c r="L107" s="41" t="s">
        <v>695</v>
      </c>
      <c r="M107" s="41">
        <v>0.6</v>
      </c>
      <c r="N107" s="44"/>
    </row>
    <row r="108" customHeight="1" spans="1:14">
      <c r="A108" s="38">
        <v>797</v>
      </c>
      <c r="B108" s="39" t="s">
        <v>804</v>
      </c>
      <c r="C108" s="39" t="s">
        <v>691</v>
      </c>
      <c r="D108" s="39" t="s">
        <v>646</v>
      </c>
      <c r="E108" s="39" t="s">
        <v>657</v>
      </c>
      <c r="F108" s="39" t="s">
        <v>858</v>
      </c>
      <c r="G108" s="39" t="s">
        <v>653</v>
      </c>
      <c r="H108" s="39" t="s">
        <v>676</v>
      </c>
      <c r="I108" s="39" t="s">
        <v>693</v>
      </c>
      <c r="J108" s="39" t="s">
        <v>678</v>
      </c>
      <c r="K108" s="39" t="s">
        <v>701</v>
      </c>
      <c r="L108" s="39" t="s">
        <v>719</v>
      </c>
      <c r="M108" s="39">
        <v>0</v>
      </c>
      <c r="N108" s="43"/>
    </row>
    <row r="109" customHeight="1" spans="1:14">
      <c r="A109" s="40">
        <v>798</v>
      </c>
      <c r="B109" s="41" t="s">
        <v>859</v>
      </c>
      <c r="C109" s="41" t="s">
        <v>691</v>
      </c>
      <c r="D109" s="41" t="s">
        <v>649</v>
      </c>
      <c r="E109" s="41" t="s">
        <v>657</v>
      </c>
      <c r="F109" s="41" t="s">
        <v>860</v>
      </c>
      <c r="G109" s="41" t="s">
        <v>653</v>
      </c>
      <c r="H109" s="41" t="s">
        <v>727</v>
      </c>
      <c r="I109" s="41" t="s">
        <v>708</v>
      </c>
      <c r="J109" s="41" t="s">
        <v>709</v>
      </c>
      <c r="K109" s="41" t="s">
        <v>732</v>
      </c>
      <c r="L109" s="41" t="s">
        <v>715</v>
      </c>
      <c r="M109" s="41">
        <v>0</v>
      </c>
      <c r="N109" s="44"/>
    </row>
    <row r="110" customHeight="1" spans="1:14">
      <c r="A110" s="38">
        <v>799</v>
      </c>
      <c r="B110" s="39" t="s">
        <v>780</v>
      </c>
      <c r="C110" s="39" t="s">
        <v>691</v>
      </c>
      <c r="D110" s="39" t="s">
        <v>647</v>
      </c>
      <c r="E110" s="39" t="s">
        <v>658</v>
      </c>
      <c r="F110" s="39" t="s">
        <v>861</v>
      </c>
      <c r="G110" s="39" t="s">
        <v>652</v>
      </c>
      <c r="H110" s="39" t="s">
        <v>727</v>
      </c>
      <c r="I110" s="39" t="s">
        <v>700</v>
      </c>
      <c r="J110" s="39" t="s">
        <v>678</v>
      </c>
      <c r="K110" s="39" t="s">
        <v>701</v>
      </c>
      <c r="L110" s="39" t="s">
        <v>680</v>
      </c>
      <c r="M110" s="39">
        <v>0.9</v>
      </c>
      <c r="N110" s="43"/>
    </row>
    <row r="111" customHeight="1" spans="1:14">
      <c r="A111" s="40">
        <v>800</v>
      </c>
      <c r="B111" s="41" t="s">
        <v>862</v>
      </c>
      <c r="C111" s="41" t="s">
        <v>674</v>
      </c>
      <c r="D111" s="41" t="s">
        <v>646</v>
      </c>
      <c r="E111" s="41" t="s">
        <v>658</v>
      </c>
      <c r="F111" s="41" t="s">
        <v>863</v>
      </c>
      <c r="G111" s="41" t="s">
        <v>655</v>
      </c>
      <c r="H111" s="41" t="s">
        <v>722</v>
      </c>
      <c r="I111" s="41" t="s">
        <v>677</v>
      </c>
      <c r="J111" s="41" t="s">
        <v>709</v>
      </c>
      <c r="K111" s="41" t="s">
        <v>689</v>
      </c>
      <c r="L111" s="41" t="s">
        <v>743</v>
      </c>
      <c r="M111" s="41">
        <v>0</v>
      </c>
      <c r="N111" s="44"/>
    </row>
    <row r="112" customHeight="1" spans="1:14">
      <c r="A112" s="38">
        <v>801</v>
      </c>
      <c r="B112" s="39" t="s">
        <v>864</v>
      </c>
      <c r="C112" s="39" t="s">
        <v>691</v>
      </c>
      <c r="D112" s="39" t="s">
        <v>642</v>
      </c>
      <c r="E112" s="39" t="s">
        <v>658</v>
      </c>
      <c r="F112" s="39" t="s">
        <v>865</v>
      </c>
      <c r="G112" s="39" t="s">
        <v>654</v>
      </c>
      <c r="H112" s="39" t="s">
        <v>683</v>
      </c>
      <c r="I112" s="39" t="s">
        <v>677</v>
      </c>
      <c r="J112" s="39" t="s">
        <v>678</v>
      </c>
      <c r="K112" s="39" t="s">
        <v>701</v>
      </c>
      <c r="L112" s="39" t="s">
        <v>743</v>
      </c>
      <c r="M112" s="39">
        <v>0</v>
      </c>
      <c r="N112" s="43"/>
    </row>
    <row r="113" customHeight="1" spans="1:14">
      <c r="A113" s="40">
        <v>802</v>
      </c>
      <c r="B113" s="41" t="s">
        <v>866</v>
      </c>
      <c r="C113" s="41" t="s">
        <v>691</v>
      </c>
      <c r="D113" s="41" t="s">
        <v>645</v>
      </c>
      <c r="E113" s="41" t="s">
        <v>658</v>
      </c>
      <c r="F113" s="41" t="s">
        <v>867</v>
      </c>
      <c r="G113" s="41" t="s">
        <v>655</v>
      </c>
      <c r="H113" s="41" t="s">
        <v>683</v>
      </c>
      <c r="I113" s="41" t="s">
        <v>708</v>
      </c>
      <c r="J113" s="41" t="s">
        <v>709</v>
      </c>
      <c r="K113" s="41" t="s">
        <v>710</v>
      </c>
      <c r="L113" s="41" t="s">
        <v>715</v>
      </c>
      <c r="M113" s="41">
        <v>0</v>
      </c>
      <c r="N113" s="44"/>
    </row>
    <row r="114" customHeight="1" spans="1:14">
      <c r="A114" s="38">
        <v>803</v>
      </c>
      <c r="B114" s="39" t="s">
        <v>868</v>
      </c>
      <c r="C114" s="39" t="s">
        <v>691</v>
      </c>
      <c r="D114" s="39" t="s">
        <v>644</v>
      </c>
      <c r="E114" s="39" t="s">
        <v>651</v>
      </c>
      <c r="F114" s="39" t="s">
        <v>869</v>
      </c>
      <c r="G114" s="39" t="s">
        <v>653</v>
      </c>
      <c r="H114" s="39" t="s">
        <v>676</v>
      </c>
      <c r="I114" s="39" t="s">
        <v>708</v>
      </c>
      <c r="J114" s="39" t="s">
        <v>678</v>
      </c>
      <c r="K114" s="39" t="s">
        <v>732</v>
      </c>
      <c r="L114" s="39" t="s">
        <v>719</v>
      </c>
      <c r="M114" s="39">
        <v>0</v>
      </c>
      <c r="N114" s="43"/>
    </row>
    <row r="115" customHeight="1" spans="1:14">
      <c r="A115" s="40">
        <v>804</v>
      </c>
      <c r="B115" s="41" t="s">
        <v>870</v>
      </c>
      <c r="C115" s="41" t="s">
        <v>691</v>
      </c>
      <c r="D115" s="41" t="s">
        <v>642</v>
      </c>
      <c r="E115" s="41" t="s">
        <v>657</v>
      </c>
      <c r="F115" s="41" t="s">
        <v>871</v>
      </c>
      <c r="G115" s="41" t="s">
        <v>655</v>
      </c>
      <c r="H115" s="41" t="s">
        <v>707</v>
      </c>
      <c r="I115" s="41" t="s">
        <v>677</v>
      </c>
      <c r="J115" s="41" t="s">
        <v>709</v>
      </c>
      <c r="K115" s="41" t="s">
        <v>710</v>
      </c>
      <c r="L115" s="41" t="s">
        <v>680</v>
      </c>
      <c r="M115" s="41">
        <v>0.9</v>
      </c>
      <c r="N115" s="44"/>
    </row>
    <row r="116" customHeight="1" spans="1:14">
      <c r="A116" s="38">
        <v>805</v>
      </c>
      <c r="B116" s="39" t="s">
        <v>872</v>
      </c>
      <c r="C116" s="39" t="s">
        <v>691</v>
      </c>
      <c r="D116" s="39" t="s">
        <v>639</v>
      </c>
      <c r="E116" s="39" t="s">
        <v>658</v>
      </c>
      <c r="F116" s="39" t="s">
        <v>873</v>
      </c>
      <c r="G116" s="39" t="s">
        <v>656</v>
      </c>
      <c r="H116" s="39" t="s">
        <v>722</v>
      </c>
      <c r="I116" s="39" t="s">
        <v>708</v>
      </c>
      <c r="J116" s="39" t="s">
        <v>678</v>
      </c>
      <c r="K116" s="39" t="s">
        <v>679</v>
      </c>
      <c r="L116" s="39" t="s">
        <v>680</v>
      </c>
      <c r="M116" s="39">
        <v>0.9</v>
      </c>
      <c r="N116" s="43"/>
    </row>
    <row r="117" customHeight="1" spans="1:14">
      <c r="A117" s="40">
        <v>806</v>
      </c>
      <c r="B117" s="41" t="s">
        <v>874</v>
      </c>
      <c r="C117" s="41" t="s">
        <v>691</v>
      </c>
      <c r="D117" s="41" t="s">
        <v>642</v>
      </c>
      <c r="E117" s="41" t="s">
        <v>657</v>
      </c>
      <c r="F117" s="41" t="s">
        <v>875</v>
      </c>
      <c r="G117" s="41" t="s">
        <v>653</v>
      </c>
      <c r="H117" s="41" t="s">
        <v>683</v>
      </c>
      <c r="I117" s="41" t="s">
        <v>677</v>
      </c>
      <c r="J117" s="41" t="s">
        <v>678</v>
      </c>
      <c r="K117" s="41" t="s">
        <v>701</v>
      </c>
      <c r="L117" s="41" t="s">
        <v>684</v>
      </c>
      <c r="M117" s="41">
        <v>0.85</v>
      </c>
      <c r="N117" s="44"/>
    </row>
    <row r="118" customHeight="1" spans="1:14">
      <c r="A118" s="38">
        <v>807</v>
      </c>
      <c r="B118" s="39" t="s">
        <v>816</v>
      </c>
      <c r="C118" s="39" t="s">
        <v>674</v>
      </c>
      <c r="D118" s="39" t="s">
        <v>639</v>
      </c>
      <c r="E118" s="39" t="s">
        <v>658</v>
      </c>
      <c r="F118" s="39" t="s">
        <v>876</v>
      </c>
      <c r="G118" s="39" t="s">
        <v>653</v>
      </c>
      <c r="H118" s="39" t="s">
        <v>722</v>
      </c>
      <c r="I118" s="39" t="s">
        <v>700</v>
      </c>
      <c r="J118" s="39" t="s">
        <v>709</v>
      </c>
      <c r="K118" s="39" t="s">
        <v>694</v>
      </c>
      <c r="L118" s="39" t="s">
        <v>684</v>
      </c>
      <c r="M118" s="39">
        <v>0.85</v>
      </c>
      <c r="N118" s="43"/>
    </row>
    <row r="119" customHeight="1" spans="1:14">
      <c r="A119" s="40">
        <v>808</v>
      </c>
      <c r="B119" s="41" t="s">
        <v>877</v>
      </c>
      <c r="C119" s="41" t="s">
        <v>674</v>
      </c>
      <c r="D119" s="41" t="s">
        <v>648</v>
      </c>
      <c r="E119" s="41" t="s">
        <v>658</v>
      </c>
      <c r="F119" s="41" t="s">
        <v>878</v>
      </c>
      <c r="G119" s="41" t="s">
        <v>655</v>
      </c>
      <c r="H119" s="41" t="s">
        <v>687</v>
      </c>
      <c r="I119" s="41" t="s">
        <v>693</v>
      </c>
      <c r="J119" s="41" t="s">
        <v>678</v>
      </c>
      <c r="K119" s="41" t="s">
        <v>689</v>
      </c>
      <c r="L119" s="41" t="s">
        <v>684</v>
      </c>
      <c r="M119" s="41">
        <v>0.85</v>
      </c>
      <c r="N119" s="44"/>
    </row>
    <row r="120" customHeight="1" spans="1:14">
      <c r="A120" s="38">
        <v>809</v>
      </c>
      <c r="B120" s="39" t="s">
        <v>879</v>
      </c>
      <c r="C120" s="39" t="s">
        <v>691</v>
      </c>
      <c r="D120" s="39" t="s">
        <v>646</v>
      </c>
      <c r="E120" s="39" t="s">
        <v>651</v>
      </c>
      <c r="F120" s="39" t="s">
        <v>880</v>
      </c>
      <c r="G120" s="39" t="s">
        <v>654</v>
      </c>
      <c r="H120" s="39" t="s">
        <v>676</v>
      </c>
      <c r="I120" s="39" t="s">
        <v>693</v>
      </c>
      <c r="J120" s="39" t="s">
        <v>678</v>
      </c>
      <c r="K120" s="39" t="s">
        <v>710</v>
      </c>
      <c r="L120" s="39" t="s">
        <v>695</v>
      </c>
      <c r="M120" s="39">
        <v>0.6</v>
      </c>
      <c r="N120" s="43"/>
    </row>
    <row r="121" customHeight="1" spans="1:14">
      <c r="A121" s="40">
        <v>810</v>
      </c>
      <c r="B121" s="41" t="s">
        <v>705</v>
      </c>
      <c r="C121" s="41" t="s">
        <v>691</v>
      </c>
      <c r="D121" s="41" t="s">
        <v>649</v>
      </c>
      <c r="E121" s="41" t="s">
        <v>658</v>
      </c>
      <c r="F121" s="41" t="s">
        <v>881</v>
      </c>
      <c r="G121" s="41" t="s">
        <v>655</v>
      </c>
      <c r="H121" s="41" t="s">
        <v>718</v>
      </c>
      <c r="I121" s="41" t="s">
        <v>688</v>
      </c>
      <c r="J121" s="41" t="s">
        <v>709</v>
      </c>
      <c r="K121" s="41" t="s">
        <v>694</v>
      </c>
      <c r="L121" s="41" t="s">
        <v>743</v>
      </c>
      <c r="M121" s="41">
        <v>0</v>
      </c>
      <c r="N121" s="44"/>
    </row>
    <row r="122" customHeight="1" spans="1:14">
      <c r="A122" s="38">
        <v>811</v>
      </c>
      <c r="B122" s="39" t="s">
        <v>882</v>
      </c>
      <c r="C122" s="39" t="s">
        <v>691</v>
      </c>
      <c r="D122" s="39" t="s">
        <v>639</v>
      </c>
      <c r="E122" s="39" t="s">
        <v>658</v>
      </c>
      <c r="F122" s="39" t="s">
        <v>883</v>
      </c>
      <c r="G122" s="39" t="s">
        <v>656</v>
      </c>
      <c r="H122" s="39" t="s">
        <v>718</v>
      </c>
      <c r="I122" s="39" t="s">
        <v>688</v>
      </c>
      <c r="J122" s="39" t="s">
        <v>678</v>
      </c>
      <c r="K122" s="39" t="s">
        <v>732</v>
      </c>
      <c r="L122" s="39" t="s">
        <v>695</v>
      </c>
      <c r="M122" s="39">
        <v>0.6</v>
      </c>
      <c r="N122" s="43"/>
    </row>
    <row r="123" customHeight="1" spans="1:14">
      <c r="A123" s="40">
        <v>812</v>
      </c>
      <c r="B123" s="41" t="s">
        <v>884</v>
      </c>
      <c r="C123" s="41" t="s">
        <v>674</v>
      </c>
      <c r="D123" s="41" t="s">
        <v>647</v>
      </c>
      <c r="E123" s="41" t="s">
        <v>651</v>
      </c>
      <c r="F123" s="41" t="s">
        <v>885</v>
      </c>
      <c r="G123" s="41" t="s">
        <v>656</v>
      </c>
      <c r="H123" s="41" t="s">
        <v>727</v>
      </c>
      <c r="I123" s="41" t="s">
        <v>693</v>
      </c>
      <c r="J123" s="41" t="s">
        <v>678</v>
      </c>
      <c r="K123" s="41" t="s">
        <v>732</v>
      </c>
      <c r="L123" s="41" t="s">
        <v>715</v>
      </c>
      <c r="M123" s="41">
        <v>0</v>
      </c>
      <c r="N123" s="44"/>
    </row>
    <row r="124" customHeight="1" spans="1:14">
      <c r="A124" s="38">
        <v>813</v>
      </c>
      <c r="B124" s="39" t="s">
        <v>755</v>
      </c>
      <c r="C124" s="39" t="s">
        <v>691</v>
      </c>
      <c r="D124" s="39" t="s">
        <v>641</v>
      </c>
      <c r="E124" s="39" t="s">
        <v>657</v>
      </c>
      <c r="F124" s="39" t="s">
        <v>886</v>
      </c>
      <c r="G124" s="39" t="s">
        <v>656</v>
      </c>
      <c r="H124" s="39" t="s">
        <v>718</v>
      </c>
      <c r="I124" s="39" t="s">
        <v>693</v>
      </c>
      <c r="J124" s="39" t="s">
        <v>709</v>
      </c>
      <c r="K124" s="39" t="s">
        <v>694</v>
      </c>
      <c r="L124" s="39" t="s">
        <v>715</v>
      </c>
      <c r="M124" s="39">
        <v>0</v>
      </c>
      <c r="N124" s="43"/>
    </row>
    <row r="125" customHeight="1" spans="1:14">
      <c r="A125" s="40">
        <v>814</v>
      </c>
      <c r="B125" s="41" t="s">
        <v>882</v>
      </c>
      <c r="C125" s="41" t="s">
        <v>691</v>
      </c>
      <c r="D125" s="41" t="s">
        <v>639</v>
      </c>
      <c r="E125" s="41" t="s">
        <v>658</v>
      </c>
      <c r="F125" s="41" t="s">
        <v>887</v>
      </c>
      <c r="G125" s="41" t="s">
        <v>656</v>
      </c>
      <c r="H125" s="41" t="s">
        <v>676</v>
      </c>
      <c r="I125" s="41" t="s">
        <v>688</v>
      </c>
      <c r="J125" s="41" t="s">
        <v>709</v>
      </c>
      <c r="K125" s="41" t="s">
        <v>679</v>
      </c>
      <c r="L125" s="41" t="s">
        <v>715</v>
      </c>
      <c r="M125" s="41">
        <v>0</v>
      </c>
      <c r="N125" s="44"/>
    </row>
    <row r="126" customHeight="1" spans="1:14">
      <c r="A126" s="38">
        <v>815</v>
      </c>
      <c r="B126" s="39" t="s">
        <v>888</v>
      </c>
      <c r="C126" s="39" t="s">
        <v>691</v>
      </c>
      <c r="D126" s="39" t="s">
        <v>647</v>
      </c>
      <c r="E126" s="39" t="s">
        <v>657</v>
      </c>
      <c r="F126" s="39" t="s">
        <v>889</v>
      </c>
      <c r="G126" s="39" t="s">
        <v>654</v>
      </c>
      <c r="H126" s="39" t="s">
        <v>683</v>
      </c>
      <c r="I126" s="39" t="s">
        <v>693</v>
      </c>
      <c r="J126" s="39" t="s">
        <v>678</v>
      </c>
      <c r="K126" s="39" t="s">
        <v>732</v>
      </c>
      <c r="L126" s="39" t="s">
        <v>743</v>
      </c>
      <c r="M126" s="39">
        <v>0</v>
      </c>
      <c r="N126" s="43"/>
    </row>
    <row r="127" customHeight="1" spans="1:14">
      <c r="A127" s="40">
        <v>816</v>
      </c>
      <c r="B127" s="41" t="s">
        <v>890</v>
      </c>
      <c r="C127" s="41" t="s">
        <v>674</v>
      </c>
      <c r="D127" s="41" t="s">
        <v>644</v>
      </c>
      <c r="E127" s="41" t="s">
        <v>658</v>
      </c>
      <c r="F127" s="41" t="s">
        <v>891</v>
      </c>
      <c r="G127" s="41" t="s">
        <v>655</v>
      </c>
      <c r="H127" s="41" t="s">
        <v>727</v>
      </c>
      <c r="I127" s="41" t="s">
        <v>708</v>
      </c>
      <c r="J127" s="41" t="s">
        <v>678</v>
      </c>
      <c r="K127" s="41" t="s">
        <v>701</v>
      </c>
      <c r="L127" s="41" t="s">
        <v>719</v>
      </c>
      <c r="M127" s="41">
        <v>0</v>
      </c>
      <c r="N127" s="44"/>
    </row>
    <row r="128" customHeight="1" spans="1:14">
      <c r="A128" s="38">
        <v>817</v>
      </c>
      <c r="B128" s="39" t="s">
        <v>892</v>
      </c>
      <c r="C128" s="39" t="s">
        <v>691</v>
      </c>
      <c r="D128" s="39" t="s">
        <v>642</v>
      </c>
      <c r="E128" s="39" t="s">
        <v>658</v>
      </c>
      <c r="F128" s="39" t="s">
        <v>893</v>
      </c>
      <c r="G128" s="39" t="s">
        <v>654</v>
      </c>
      <c r="H128" s="39" t="s">
        <v>687</v>
      </c>
      <c r="I128" s="39" t="s">
        <v>700</v>
      </c>
      <c r="J128" s="39" t="s">
        <v>678</v>
      </c>
      <c r="K128" s="39" t="s">
        <v>679</v>
      </c>
      <c r="L128" s="39" t="s">
        <v>695</v>
      </c>
      <c r="M128" s="39">
        <v>0.6</v>
      </c>
      <c r="N128" s="43"/>
    </row>
    <row r="129" customHeight="1" spans="1:14">
      <c r="A129" s="40">
        <v>818</v>
      </c>
      <c r="B129" s="41" t="s">
        <v>894</v>
      </c>
      <c r="C129" s="41" t="s">
        <v>691</v>
      </c>
      <c r="D129" s="41" t="s">
        <v>639</v>
      </c>
      <c r="E129" s="41" t="s">
        <v>657</v>
      </c>
      <c r="F129" s="41" t="s">
        <v>895</v>
      </c>
      <c r="G129" s="41" t="s">
        <v>655</v>
      </c>
      <c r="H129" s="41" t="s">
        <v>722</v>
      </c>
      <c r="I129" s="41" t="s">
        <v>708</v>
      </c>
      <c r="J129" s="41" t="s">
        <v>709</v>
      </c>
      <c r="K129" s="41" t="s">
        <v>701</v>
      </c>
      <c r="L129" s="41" t="s">
        <v>684</v>
      </c>
      <c r="M129" s="41">
        <v>0.85</v>
      </c>
      <c r="N129" s="44"/>
    </row>
    <row r="130" customHeight="1" spans="1:14">
      <c r="A130" s="38">
        <v>819</v>
      </c>
      <c r="B130" s="39" t="s">
        <v>896</v>
      </c>
      <c r="C130" s="39" t="s">
        <v>691</v>
      </c>
      <c r="D130" s="39" t="s">
        <v>647</v>
      </c>
      <c r="E130" s="39" t="s">
        <v>651</v>
      </c>
      <c r="F130" s="39" t="s">
        <v>897</v>
      </c>
      <c r="G130" s="39" t="s">
        <v>653</v>
      </c>
      <c r="H130" s="39" t="s">
        <v>722</v>
      </c>
      <c r="I130" s="39" t="s">
        <v>688</v>
      </c>
      <c r="J130" s="39" t="s">
        <v>709</v>
      </c>
      <c r="K130" s="39" t="s">
        <v>694</v>
      </c>
      <c r="L130" s="39" t="s">
        <v>743</v>
      </c>
      <c r="M130" s="39">
        <v>0</v>
      </c>
      <c r="N130" s="43"/>
    </row>
    <row r="131" customHeight="1" spans="1:14">
      <c r="A131" s="40">
        <v>820</v>
      </c>
      <c r="B131" s="41" t="s">
        <v>898</v>
      </c>
      <c r="C131" s="41" t="s">
        <v>691</v>
      </c>
      <c r="D131" s="41" t="s">
        <v>642</v>
      </c>
      <c r="E131" s="41" t="s">
        <v>658</v>
      </c>
      <c r="F131" s="41" t="s">
        <v>899</v>
      </c>
      <c r="G131" s="41" t="s">
        <v>656</v>
      </c>
      <c r="H131" s="41" t="s">
        <v>718</v>
      </c>
      <c r="I131" s="41" t="s">
        <v>708</v>
      </c>
      <c r="J131" s="41" t="s">
        <v>678</v>
      </c>
      <c r="K131" s="41" t="s">
        <v>689</v>
      </c>
      <c r="L131" s="41" t="s">
        <v>680</v>
      </c>
      <c r="M131" s="41">
        <v>0.9</v>
      </c>
      <c r="N131" s="44"/>
    </row>
    <row r="132" customHeight="1" spans="1:14">
      <c r="A132" s="38">
        <v>821</v>
      </c>
      <c r="B132" s="39" t="s">
        <v>673</v>
      </c>
      <c r="C132" s="39" t="s">
        <v>674</v>
      </c>
      <c r="D132" s="39" t="s">
        <v>641</v>
      </c>
      <c r="E132" s="39" t="s">
        <v>657</v>
      </c>
      <c r="F132" s="39" t="s">
        <v>900</v>
      </c>
      <c r="G132" s="39" t="s">
        <v>652</v>
      </c>
      <c r="H132" s="39" t="s">
        <v>683</v>
      </c>
      <c r="I132" s="39" t="s">
        <v>693</v>
      </c>
      <c r="J132" s="39" t="s">
        <v>678</v>
      </c>
      <c r="K132" s="39" t="s">
        <v>689</v>
      </c>
      <c r="L132" s="39" t="s">
        <v>743</v>
      </c>
      <c r="M132" s="39">
        <v>0</v>
      </c>
      <c r="N132" s="43"/>
    </row>
    <row r="133" customHeight="1" spans="1:14">
      <c r="A133" s="40">
        <v>822</v>
      </c>
      <c r="B133" s="41" t="s">
        <v>901</v>
      </c>
      <c r="C133" s="41" t="s">
        <v>691</v>
      </c>
      <c r="D133" s="41" t="s">
        <v>638</v>
      </c>
      <c r="E133" s="41" t="s">
        <v>658</v>
      </c>
      <c r="F133" s="41" t="s">
        <v>902</v>
      </c>
      <c r="G133" s="41" t="s">
        <v>655</v>
      </c>
      <c r="H133" s="41" t="s">
        <v>676</v>
      </c>
      <c r="I133" s="41" t="s">
        <v>677</v>
      </c>
      <c r="J133" s="41" t="s">
        <v>678</v>
      </c>
      <c r="K133" s="41" t="s">
        <v>694</v>
      </c>
      <c r="L133" s="41" t="s">
        <v>680</v>
      </c>
      <c r="M133" s="41">
        <v>0.9</v>
      </c>
      <c r="N133" s="44"/>
    </row>
    <row r="134" customHeight="1" spans="1:14">
      <c r="A134" s="38">
        <v>823</v>
      </c>
      <c r="B134" s="39" t="s">
        <v>903</v>
      </c>
      <c r="C134" s="39" t="s">
        <v>691</v>
      </c>
      <c r="D134" s="39" t="s">
        <v>647</v>
      </c>
      <c r="E134" s="39" t="s">
        <v>657</v>
      </c>
      <c r="F134" s="39" t="s">
        <v>904</v>
      </c>
      <c r="G134" s="39" t="s">
        <v>655</v>
      </c>
      <c r="H134" s="39" t="s">
        <v>722</v>
      </c>
      <c r="I134" s="39" t="s">
        <v>688</v>
      </c>
      <c r="J134" s="39" t="s">
        <v>709</v>
      </c>
      <c r="K134" s="39" t="s">
        <v>679</v>
      </c>
      <c r="L134" s="39" t="s">
        <v>684</v>
      </c>
      <c r="M134" s="39">
        <v>0.85</v>
      </c>
      <c r="N134" s="43"/>
    </row>
    <row r="135" customHeight="1" spans="1:14">
      <c r="A135" s="40">
        <v>824</v>
      </c>
      <c r="B135" s="41" t="s">
        <v>905</v>
      </c>
      <c r="C135" s="41" t="s">
        <v>691</v>
      </c>
      <c r="D135" s="41" t="s">
        <v>647</v>
      </c>
      <c r="E135" s="41" t="s">
        <v>658</v>
      </c>
      <c r="F135" s="41" t="s">
        <v>906</v>
      </c>
      <c r="G135" s="41" t="s">
        <v>652</v>
      </c>
      <c r="H135" s="41" t="s">
        <v>722</v>
      </c>
      <c r="I135" s="41" t="s">
        <v>688</v>
      </c>
      <c r="J135" s="41" t="s">
        <v>678</v>
      </c>
      <c r="K135" s="41" t="s">
        <v>710</v>
      </c>
      <c r="L135" s="41" t="s">
        <v>715</v>
      </c>
      <c r="M135" s="41">
        <v>0</v>
      </c>
      <c r="N135" s="44"/>
    </row>
    <row r="136" customHeight="1" spans="1:14">
      <c r="A136" s="38">
        <v>825</v>
      </c>
      <c r="B136" s="39" t="s">
        <v>907</v>
      </c>
      <c r="C136" s="39" t="s">
        <v>674</v>
      </c>
      <c r="D136" s="39" t="s">
        <v>645</v>
      </c>
      <c r="E136" s="39" t="s">
        <v>651</v>
      </c>
      <c r="F136" s="39" t="s">
        <v>908</v>
      </c>
      <c r="G136" s="39" t="s">
        <v>652</v>
      </c>
      <c r="H136" s="39" t="s">
        <v>687</v>
      </c>
      <c r="I136" s="39" t="s">
        <v>688</v>
      </c>
      <c r="J136" s="39" t="s">
        <v>678</v>
      </c>
      <c r="K136" s="39" t="s">
        <v>679</v>
      </c>
      <c r="L136" s="39" t="s">
        <v>680</v>
      </c>
      <c r="M136" s="39">
        <v>0.9</v>
      </c>
      <c r="N136" s="43"/>
    </row>
    <row r="137" customHeight="1" spans="1:14">
      <c r="A137" s="40">
        <v>826</v>
      </c>
      <c r="B137" s="41" t="s">
        <v>909</v>
      </c>
      <c r="C137" s="41" t="s">
        <v>691</v>
      </c>
      <c r="D137" s="41" t="s">
        <v>647</v>
      </c>
      <c r="E137" s="41" t="s">
        <v>658</v>
      </c>
      <c r="F137" s="41" t="s">
        <v>910</v>
      </c>
      <c r="G137" s="41" t="s">
        <v>652</v>
      </c>
      <c r="H137" s="41" t="s">
        <v>727</v>
      </c>
      <c r="I137" s="41" t="s">
        <v>693</v>
      </c>
      <c r="J137" s="41" t="s">
        <v>678</v>
      </c>
      <c r="K137" s="41" t="s">
        <v>679</v>
      </c>
      <c r="L137" s="41" t="s">
        <v>715</v>
      </c>
      <c r="M137" s="41">
        <v>0</v>
      </c>
      <c r="N137" s="44"/>
    </row>
    <row r="138" customHeight="1" spans="1:14">
      <c r="A138" s="38">
        <v>827</v>
      </c>
      <c r="B138" s="39" t="s">
        <v>911</v>
      </c>
      <c r="C138" s="39" t="s">
        <v>674</v>
      </c>
      <c r="D138" s="39" t="s">
        <v>647</v>
      </c>
      <c r="E138" s="39" t="s">
        <v>658</v>
      </c>
      <c r="F138" s="39" t="s">
        <v>912</v>
      </c>
      <c r="G138" s="39" t="s">
        <v>652</v>
      </c>
      <c r="H138" s="39" t="s">
        <v>676</v>
      </c>
      <c r="I138" s="39" t="s">
        <v>700</v>
      </c>
      <c r="J138" s="39" t="s">
        <v>678</v>
      </c>
      <c r="K138" s="39" t="s">
        <v>679</v>
      </c>
      <c r="L138" s="39" t="s">
        <v>719</v>
      </c>
      <c r="M138" s="39">
        <v>0</v>
      </c>
      <c r="N138" s="43"/>
    </row>
    <row r="139" customHeight="1" spans="1:14">
      <c r="A139" s="40">
        <v>828</v>
      </c>
      <c r="B139" s="41" t="s">
        <v>913</v>
      </c>
      <c r="C139" s="41" t="s">
        <v>674</v>
      </c>
      <c r="D139" s="41" t="s">
        <v>647</v>
      </c>
      <c r="E139" s="41" t="s">
        <v>657</v>
      </c>
      <c r="F139" s="41" t="s">
        <v>914</v>
      </c>
      <c r="G139" s="41" t="s">
        <v>653</v>
      </c>
      <c r="H139" s="41" t="s">
        <v>676</v>
      </c>
      <c r="I139" s="41" t="s">
        <v>677</v>
      </c>
      <c r="J139" s="41" t="s">
        <v>678</v>
      </c>
      <c r="K139" s="41" t="s">
        <v>679</v>
      </c>
      <c r="L139" s="41" t="s">
        <v>695</v>
      </c>
      <c r="M139" s="41">
        <v>0.6</v>
      </c>
      <c r="N139" s="44"/>
    </row>
    <row r="140" customHeight="1" spans="1:14">
      <c r="A140" s="38">
        <v>829</v>
      </c>
      <c r="B140" s="39" t="s">
        <v>915</v>
      </c>
      <c r="C140" s="39" t="s">
        <v>691</v>
      </c>
      <c r="D140" s="39" t="s">
        <v>639</v>
      </c>
      <c r="E140" s="39" t="s">
        <v>658</v>
      </c>
      <c r="F140" s="39" t="s">
        <v>916</v>
      </c>
      <c r="G140" s="39" t="s">
        <v>653</v>
      </c>
      <c r="H140" s="39" t="s">
        <v>727</v>
      </c>
      <c r="I140" s="39" t="s">
        <v>693</v>
      </c>
      <c r="J140" s="39" t="s">
        <v>678</v>
      </c>
      <c r="K140" s="39" t="s">
        <v>679</v>
      </c>
      <c r="L140" s="39" t="s">
        <v>715</v>
      </c>
      <c r="M140" s="39">
        <v>0</v>
      </c>
      <c r="N140" s="43"/>
    </row>
    <row r="141" customHeight="1" spans="1:14">
      <c r="A141" s="40">
        <v>830</v>
      </c>
      <c r="B141" s="41" t="s">
        <v>818</v>
      </c>
      <c r="C141" s="41" t="s">
        <v>691</v>
      </c>
      <c r="D141" s="41" t="s">
        <v>647</v>
      </c>
      <c r="E141" s="41" t="s">
        <v>658</v>
      </c>
      <c r="F141" s="41" t="s">
        <v>917</v>
      </c>
      <c r="G141" s="41" t="s">
        <v>655</v>
      </c>
      <c r="H141" s="41" t="s">
        <v>722</v>
      </c>
      <c r="I141" s="41" t="s">
        <v>677</v>
      </c>
      <c r="J141" s="41" t="s">
        <v>709</v>
      </c>
      <c r="K141" s="41" t="s">
        <v>689</v>
      </c>
      <c r="L141" s="41" t="s">
        <v>695</v>
      </c>
      <c r="M141" s="41">
        <v>0.6</v>
      </c>
      <c r="N141" s="44"/>
    </row>
    <row r="142" customHeight="1" spans="1:14">
      <c r="A142" s="38">
        <v>831</v>
      </c>
      <c r="B142" s="39" t="s">
        <v>851</v>
      </c>
      <c r="C142" s="39" t="s">
        <v>691</v>
      </c>
      <c r="D142" s="39" t="s">
        <v>642</v>
      </c>
      <c r="E142" s="39" t="s">
        <v>658</v>
      </c>
      <c r="F142" s="39" t="s">
        <v>918</v>
      </c>
      <c r="G142" s="39" t="s">
        <v>655</v>
      </c>
      <c r="H142" s="39" t="s">
        <v>727</v>
      </c>
      <c r="I142" s="39" t="s">
        <v>708</v>
      </c>
      <c r="J142" s="39" t="s">
        <v>709</v>
      </c>
      <c r="K142" s="39" t="s">
        <v>689</v>
      </c>
      <c r="L142" s="39" t="s">
        <v>719</v>
      </c>
      <c r="M142" s="39">
        <v>0</v>
      </c>
      <c r="N142" s="43"/>
    </row>
    <row r="143" customHeight="1" spans="1:14">
      <c r="A143" s="40">
        <v>832</v>
      </c>
      <c r="B143" s="41" t="s">
        <v>919</v>
      </c>
      <c r="C143" s="41" t="s">
        <v>674</v>
      </c>
      <c r="D143" s="41" t="s">
        <v>646</v>
      </c>
      <c r="E143" s="41" t="s">
        <v>657</v>
      </c>
      <c r="F143" s="41" t="s">
        <v>920</v>
      </c>
      <c r="G143" s="41" t="s">
        <v>655</v>
      </c>
      <c r="H143" s="41" t="s">
        <v>727</v>
      </c>
      <c r="I143" s="41" t="s">
        <v>688</v>
      </c>
      <c r="J143" s="41" t="s">
        <v>709</v>
      </c>
      <c r="K143" s="41" t="s">
        <v>694</v>
      </c>
      <c r="L143" s="41" t="s">
        <v>719</v>
      </c>
      <c r="M143" s="41">
        <v>0</v>
      </c>
      <c r="N143" s="44"/>
    </row>
    <row r="144" customHeight="1" spans="1:14">
      <c r="A144" s="38">
        <v>833</v>
      </c>
      <c r="B144" s="39" t="s">
        <v>921</v>
      </c>
      <c r="C144" s="39" t="s">
        <v>674</v>
      </c>
      <c r="D144" s="39" t="s">
        <v>648</v>
      </c>
      <c r="E144" s="39" t="s">
        <v>658</v>
      </c>
      <c r="F144" s="39" t="s">
        <v>922</v>
      </c>
      <c r="G144" s="39" t="s">
        <v>653</v>
      </c>
      <c r="H144" s="39" t="s">
        <v>722</v>
      </c>
      <c r="I144" s="39" t="s">
        <v>700</v>
      </c>
      <c r="J144" s="39" t="s">
        <v>678</v>
      </c>
      <c r="K144" s="39" t="s">
        <v>701</v>
      </c>
      <c r="L144" s="39" t="s">
        <v>695</v>
      </c>
      <c r="M144" s="39">
        <v>0.6</v>
      </c>
      <c r="N144" s="43"/>
    </row>
    <row r="145" customHeight="1" spans="1:14">
      <c r="A145" s="40">
        <v>834</v>
      </c>
      <c r="B145" s="41" t="s">
        <v>923</v>
      </c>
      <c r="C145" s="41" t="s">
        <v>674</v>
      </c>
      <c r="D145" s="41" t="s">
        <v>641</v>
      </c>
      <c r="E145" s="41" t="s">
        <v>658</v>
      </c>
      <c r="F145" s="41" t="s">
        <v>924</v>
      </c>
      <c r="G145" s="41" t="s">
        <v>655</v>
      </c>
      <c r="H145" s="41" t="s">
        <v>718</v>
      </c>
      <c r="I145" s="41" t="s">
        <v>693</v>
      </c>
      <c r="J145" s="41" t="s">
        <v>678</v>
      </c>
      <c r="K145" s="41" t="s">
        <v>689</v>
      </c>
      <c r="L145" s="41" t="s">
        <v>695</v>
      </c>
      <c r="M145" s="41">
        <v>0.6</v>
      </c>
      <c r="N145" s="44"/>
    </row>
    <row r="146" customHeight="1" spans="1:14">
      <c r="A146" s="38">
        <v>835</v>
      </c>
      <c r="B146" s="39" t="s">
        <v>925</v>
      </c>
      <c r="C146" s="39" t="s">
        <v>674</v>
      </c>
      <c r="D146" s="39" t="s">
        <v>642</v>
      </c>
      <c r="E146" s="39" t="s">
        <v>658</v>
      </c>
      <c r="F146" s="39" t="s">
        <v>926</v>
      </c>
      <c r="G146" s="39" t="s">
        <v>653</v>
      </c>
      <c r="H146" s="39" t="s">
        <v>676</v>
      </c>
      <c r="I146" s="39" t="s">
        <v>677</v>
      </c>
      <c r="J146" s="39" t="s">
        <v>678</v>
      </c>
      <c r="K146" s="39" t="s">
        <v>701</v>
      </c>
      <c r="L146" s="39" t="s">
        <v>680</v>
      </c>
      <c r="M146" s="39">
        <v>0.9</v>
      </c>
      <c r="N146" s="43"/>
    </row>
    <row r="147" customHeight="1" spans="1:14">
      <c r="A147" s="40">
        <v>836</v>
      </c>
      <c r="B147" s="41" t="s">
        <v>927</v>
      </c>
      <c r="C147" s="41" t="s">
        <v>691</v>
      </c>
      <c r="D147" s="41" t="s">
        <v>641</v>
      </c>
      <c r="E147" s="41" t="s">
        <v>657</v>
      </c>
      <c r="F147" s="41" t="s">
        <v>928</v>
      </c>
      <c r="G147" s="41" t="s">
        <v>654</v>
      </c>
      <c r="H147" s="41" t="s">
        <v>683</v>
      </c>
      <c r="I147" s="41" t="s">
        <v>688</v>
      </c>
      <c r="J147" s="41" t="s">
        <v>678</v>
      </c>
      <c r="K147" s="41" t="s">
        <v>732</v>
      </c>
      <c r="L147" s="41" t="s">
        <v>715</v>
      </c>
      <c r="M147" s="41">
        <v>0</v>
      </c>
      <c r="N147" s="44"/>
    </row>
    <row r="148" customHeight="1" spans="1:14">
      <c r="A148" s="38">
        <v>837</v>
      </c>
      <c r="B148" s="39" t="s">
        <v>929</v>
      </c>
      <c r="C148" s="39" t="s">
        <v>691</v>
      </c>
      <c r="D148" s="39" t="s">
        <v>646</v>
      </c>
      <c r="E148" s="39" t="s">
        <v>658</v>
      </c>
      <c r="F148" s="39" t="s">
        <v>930</v>
      </c>
      <c r="G148" s="39" t="s">
        <v>654</v>
      </c>
      <c r="H148" s="39" t="s">
        <v>722</v>
      </c>
      <c r="I148" s="39" t="s">
        <v>693</v>
      </c>
      <c r="J148" s="39" t="s">
        <v>678</v>
      </c>
      <c r="K148" s="39" t="s">
        <v>710</v>
      </c>
      <c r="L148" s="39" t="s">
        <v>743</v>
      </c>
      <c r="M148" s="39">
        <v>0</v>
      </c>
      <c r="N148" s="43"/>
    </row>
    <row r="149" customHeight="1" spans="1:14">
      <c r="A149" s="40">
        <v>838</v>
      </c>
      <c r="B149" s="41" t="s">
        <v>931</v>
      </c>
      <c r="C149" s="41" t="s">
        <v>691</v>
      </c>
      <c r="D149" s="41" t="s">
        <v>644</v>
      </c>
      <c r="E149" s="41" t="s">
        <v>657</v>
      </c>
      <c r="F149" s="41" t="s">
        <v>932</v>
      </c>
      <c r="G149" s="41" t="s">
        <v>653</v>
      </c>
      <c r="H149" s="41" t="s">
        <v>722</v>
      </c>
      <c r="I149" s="41" t="s">
        <v>688</v>
      </c>
      <c r="J149" s="41" t="s">
        <v>709</v>
      </c>
      <c r="K149" s="41" t="s">
        <v>701</v>
      </c>
      <c r="L149" s="41" t="s">
        <v>743</v>
      </c>
      <c r="M149" s="41">
        <v>0</v>
      </c>
      <c r="N149" s="44"/>
    </row>
    <row r="150" customHeight="1" spans="1:14">
      <c r="A150" s="38">
        <v>839</v>
      </c>
      <c r="B150" s="39" t="s">
        <v>933</v>
      </c>
      <c r="C150" s="39" t="s">
        <v>691</v>
      </c>
      <c r="D150" s="39" t="s">
        <v>647</v>
      </c>
      <c r="E150" s="39" t="s">
        <v>658</v>
      </c>
      <c r="F150" s="39" t="s">
        <v>934</v>
      </c>
      <c r="G150" s="39" t="s">
        <v>652</v>
      </c>
      <c r="H150" s="39" t="s">
        <v>687</v>
      </c>
      <c r="I150" s="39" t="s">
        <v>708</v>
      </c>
      <c r="J150" s="39" t="s">
        <v>678</v>
      </c>
      <c r="K150" s="39" t="s">
        <v>689</v>
      </c>
      <c r="L150" s="39" t="s">
        <v>680</v>
      </c>
      <c r="M150" s="39">
        <v>0.9</v>
      </c>
      <c r="N150" s="43"/>
    </row>
    <row r="151" customHeight="1" spans="1:14">
      <c r="A151" s="40">
        <v>840</v>
      </c>
      <c r="B151" s="41" t="s">
        <v>854</v>
      </c>
      <c r="C151" s="41" t="s">
        <v>691</v>
      </c>
      <c r="D151" s="41" t="s">
        <v>639</v>
      </c>
      <c r="E151" s="41" t="s">
        <v>658</v>
      </c>
      <c r="F151" s="41" t="s">
        <v>935</v>
      </c>
      <c r="G151" s="41" t="s">
        <v>655</v>
      </c>
      <c r="H151" s="41" t="s">
        <v>727</v>
      </c>
      <c r="I151" s="41" t="s">
        <v>688</v>
      </c>
      <c r="J151" s="41" t="s">
        <v>709</v>
      </c>
      <c r="K151" s="41" t="s">
        <v>694</v>
      </c>
      <c r="L151" s="41" t="s">
        <v>743</v>
      </c>
      <c r="M151" s="41">
        <v>0</v>
      </c>
      <c r="N151" s="44"/>
    </row>
    <row r="152" customHeight="1" spans="1:14">
      <c r="A152" s="38">
        <v>841</v>
      </c>
      <c r="B152" s="39" t="s">
        <v>859</v>
      </c>
      <c r="C152" s="39" t="s">
        <v>691</v>
      </c>
      <c r="D152" s="39" t="s">
        <v>649</v>
      </c>
      <c r="E152" s="39" t="s">
        <v>657</v>
      </c>
      <c r="F152" s="39" t="s">
        <v>936</v>
      </c>
      <c r="G152" s="39" t="s">
        <v>654</v>
      </c>
      <c r="H152" s="39" t="s">
        <v>718</v>
      </c>
      <c r="I152" s="39" t="s">
        <v>700</v>
      </c>
      <c r="J152" s="39" t="s">
        <v>678</v>
      </c>
      <c r="K152" s="39" t="s">
        <v>694</v>
      </c>
      <c r="L152" s="39" t="s">
        <v>719</v>
      </c>
      <c r="M152" s="39">
        <v>0</v>
      </c>
      <c r="N152" s="43"/>
    </row>
    <row r="153" customHeight="1" spans="1:14">
      <c r="A153" s="40">
        <v>842</v>
      </c>
      <c r="B153" s="41" t="s">
        <v>937</v>
      </c>
      <c r="C153" s="41" t="s">
        <v>691</v>
      </c>
      <c r="D153" s="41" t="s">
        <v>642</v>
      </c>
      <c r="E153" s="41" t="s">
        <v>658</v>
      </c>
      <c r="F153" s="41" t="s">
        <v>938</v>
      </c>
      <c r="G153" s="41" t="s">
        <v>652</v>
      </c>
      <c r="H153" s="41" t="s">
        <v>707</v>
      </c>
      <c r="I153" s="41" t="s">
        <v>693</v>
      </c>
      <c r="J153" s="41" t="s">
        <v>709</v>
      </c>
      <c r="K153" s="41" t="s">
        <v>732</v>
      </c>
      <c r="L153" s="41" t="s">
        <v>719</v>
      </c>
      <c r="M153" s="41">
        <v>0</v>
      </c>
      <c r="N153" s="44"/>
    </row>
    <row r="154" customHeight="1" spans="1:14">
      <c r="A154" s="38">
        <v>843</v>
      </c>
      <c r="B154" s="39" t="s">
        <v>939</v>
      </c>
      <c r="C154" s="39" t="s">
        <v>691</v>
      </c>
      <c r="D154" s="39" t="s">
        <v>646</v>
      </c>
      <c r="E154" s="39" t="s">
        <v>658</v>
      </c>
      <c r="F154" s="39" t="s">
        <v>940</v>
      </c>
      <c r="G154" s="39" t="s">
        <v>652</v>
      </c>
      <c r="H154" s="39" t="s">
        <v>676</v>
      </c>
      <c r="I154" s="39" t="s">
        <v>677</v>
      </c>
      <c r="J154" s="39" t="s">
        <v>678</v>
      </c>
      <c r="K154" s="39" t="s">
        <v>701</v>
      </c>
      <c r="L154" s="39" t="s">
        <v>719</v>
      </c>
      <c r="M154" s="39">
        <v>0</v>
      </c>
      <c r="N154" s="43"/>
    </row>
    <row r="155" customHeight="1" spans="1:14">
      <c r="A155" s="40">
        <v>844</v>
      </c>
      <c r="B155" s="41" t="s">
        <v>937</v>
      </c>
      <c r="C155" s="41" t="s">
        <v>691</v>
      </c>
      <c r="D155" s="41" t="s">
        <v>642</v>
      </c>
      <c r="E155" s="41" t="s">
        <v>658</v>
      </c>
      <c r="F155" s="41" t="s">
        <v>941</v>
      </c>
      <c r="G155" s="41" t="s">
        <v>656</v>
      </c>
      <c r="H155" s="41" t="s">
        <v>687</v>
      </c>
      <c r="I155" s="41" t="s">
        <v>708</v>
      </c>
      <c r="J155" s="41" t="s">
        <v>709</v>
      </c>
      <c r="K155" s="41" t="s">
        <v>679</v>
      </c>
      <c r="L155" s="41" t="s">
        <v>719</v>
      </c>
      <c r="M155" s="41">
        <v>0</v>
      </c>
      <c r="N155" s="44"/>
    </row>
    <row r="156" customHeight="1" spans="1:14">
      <c r="A156" s="38">
        <v>845</v>
      </c>
      <c r="B156" s="39" t="s">
        <v>942</v>
      </c>
      <c r="C156" s="39" t="s">
        <v>674</v>
      </c>
      <c r="D156" s="39" t="s">
        <v>639</v>
      </c>
      <c r="E156" s="39" t="s">
        <v>658</v>
      </c>
      <c r="F156" s="39" t="s">
        <v>943</v>
      </c>
      <c r="G156" s="39" t="s">
        <v>652</v>
      </c>
      <c r="H156" s="39" t="s">
        <v>707</v>
      </c>
      <c r="I156" s="39" t="s">
        <v>700</v>
      </c>
      <c r="J156" s="39" t="s">
        <v>709</v>
      </c>
      <c r="K156" s="39" t="s">
        <v>732</v>
      </c>
      <c r="L156" s="39" t="s">
        <v>743</v>
      </c>
      <c r="M156" s="39">
        <v>0</v>
      </c>
      <c r="N156" s="43"/>
    </row>
    <row r="157" customHeight="1" spans="1:14">
      <c r="A157" s="40">
        <v>846</v>
      </c>
      <c r="B157" s="41" t="s">
        <v>944</v>
      </c>
      <c r="C157" s="41" t="s">
        <v>674</v>
      </c>
      <c r="D157" s="41" t="s">
        <v>642</v>
      </c>
      <c r="E157" s="41" t="s">
        <v>657</v>
      </c>
      <c r="F157" s="41" t="s">
        <v>945</v>
      </c>
      <c r="G157" s="41" t="s">
        <v>656</v>
      </c>
      <c r="H157" s="41" t="s">
        <v>722</v>
      </c>
      <c r="I157" s="41" t="s">
        <v>708</v>
      </c>
      <c r="J157" s="41" t="s">
        <v>709</v>
      </c>
      <c r="K157" s="41" t="s">
        <v>689</v>
      </c>
      <c r="L157" s="41" t="s">
        <v>684</v>
      </c>
      <c r="M157" s="41">
        <v>0.85</v>
      </c>
      <c r="N157" s="44"/>
    </row>
    <row r="158" customHeight="1" spans="1:14">
      <c r="A158" s="38">
        <v>847</v>
      </c>
      <c r="B158" s="39" t="s">
        <v>946</v>
      </c>
      <c r="C158" s="39" t="s">
        <v>691</v>
      </c>
      <c r="D158" s="39" t="s">
        <v>641</v>
      </c>
      <c r="E158" s="39" t="s">
        <v>657</v>
      </c>
      <c r="F158" s="39" t="s">
        <v>947</v>
      </c>
      <c r="G158" s="39" t="s">
        <v>654</v>
      </c>
      <c r="H158" s="39" t="s">
        <v>722</v>
      </c>
      <c r="I158" s="39" t="s">
        <v>677</v>
      </c>
      <c r="J158" s="39" t="s">
        <v>678</v>
      </c>
      <c r="K158" s="39" t="s">
        <v>701</v>
      </c>
      <c r="L158" s="39" t="s">
        <v>715</v>
      </c>
      <c r="M158" s="39">
        <v>0</v>
      </c>
      <c r="N158" s="43"/>
    </row>
    <row r="159" customHeight="1" spans="1:14">
      <c r="A159" s="40">
        <v>848</v>
      </c>
      <c r="B159" s="41" t="s">
        <v>948</v>
      </c>
      <c r="C159" s="41" t="s">
        <v>691</v>
      </c>
      <c r="D159" s="41" t="s">
        <v>649</v>
      </c>
      <c r="E159" s="41" t="s">
        <v>657</v>
      </c>
      <c r="F159" s="41" t="s">
        <v>949</v>
      </c>
      <c r="G159" s="41" t="s">
        <v>653</v>
      </c>
      <c r="H159" s="41" t="s">
        <v>718</v>
      </c>
      <c r="I159" s="41" t="s">
        <v>693</v>
      </c>
      <c r="J159" s="41" t="s">
        <v>678</v>
      </c>
      <c r="K159" s="41" t="s">
        <v>694</v>
      </c>
      <c r="L159" s="41" t="s">
        <v>719</v>
      </c>
      <c r="M159" s="41">
        <v>0</v>
      </c>
      <c r="N159" s="44"/>
    </row>
    <row r="160" customHeight="1" spans="1:14">
      <c r="A160" s="38">
        <v>849</v>
      </c>
      <c r="B160" s="39" t="s">
        <v>950</v>
      </c>
      <c r="C160" s="39" t="s">
        <v>691</v>
      </c>
      <c r="D160" s="39" t="s">
        <v>641</v>
      </c>
      <c r="E160" s="39" t="s">
        <v>658</v>
      </c>
      <c r="F160" s="39" t="s">
        <v>951</v>
      </c>
      <c r="G160" s="39" t="s">
        <v>655</v>
      </c>
      <c r="H160" s="39" t="s">
        <v>718</v>
      </c>
      <c r="I160" s="39" t="s">
        <v>688</v>
      </c>
      <c r="J160" s="39" t="s">
        <v>709</v>
      </c>
      <c r="K160" s="39" t="s">
        <v>679</v>
      </c>
      <c r="L160" s="39" t="s">
        <v>743</v>
      </c>
      <c r="M160" s="39">
        <v>0</v>
      </c>
      <c r="N160" s="43"/>
    </row>
    <row r="161" customHeight="1" spans="1:14">
      <c r="A161" s="40">
        <v>850</v>
      </c>
      <c r="B161" s="41" t="s">
        <v>952</v>
      </c>
      <c r="C161" s="41" t="s">
        <v>691</v>
      </c>
      <c r="D161" s="41" t="s">
        <v>646</v>
      </c>
      <c r="E161" s="41" t="s">
        <v>657</v>
      </c>
      <c r="F161" s="41" t="s">
        <v>953</v>
      </c>
      <c r="G161" s="41" t="s">
        <v>654</v>
      </c>
      <c r="H161" s="41" t="s">
        <v>718</v>
      </c>
      <c r="I161" s="41" t="s">
        <v>700</v>
      </c>
      <c r="J161" s="41" t="s">
        <v>678</v>
      </c>
      <c r="K161" s="41" t="s">
        <v>694</v>
      </c>
      <c r="L161" s="41" t="s">
        <v>715</v>
      </c>
      <c r="M161" s="41">
        <v>0</v>
      </c>
      <c r="N161" s="44"/>
    </row>
    <row r="162" customHeight="1" spans="1:14">
      <c r="A162" s="38">
        <v>851</v>
      </c>
      <c r="B162" s="39" t="s">
        <v>954</v>
      </c>
      <c r="C162" s="39" t="s">
        <v>674</v>
      </c>
      <c r="D162" s="39" t="s">
        <v>645</v>
      </c>
      <c r="E162" s="39" t="s">
        <v>657</v>
      </c>
      <c r="F162" s="39" t="s">
        <v>955</v>
      </c>
      <c r="G162" s="39" t="s">
        <v>654</v>
      </c>
      <c r="H162" s="39" t="s">
        <v>676</v>
      </c>
      <c r="I162" s="39" t="s">
        <v>708</v>
      </c>
      <c r="J162" s="39" t="s">
        <v>678</v>
      </c>
      <c r="K162" s="39" t="s">
        <v>679</v>
      </c>
      <c r="L162" s="39" t="s">
        <v>684</v>
      </c>
      <c r="M162" s="39">
        <v>0.85</v>
      </c>
      <c r="N162" s="43"/>
    </row>
    <row r="163" customHeight="1" spans="1:14">
      <c r="A163" s="40">
        <v>852</v>
      </c>
      <c r="B163" s="41" t="s">
        <v>956</v>
      </c>
      <c r="C163" s="41" t="s">
        <v>691</v>
      </c>
      <c r="D163" s="41" t="s">
        <v>645</v>
      </c>
      <c r="E163" s="41" t="s">
        <v>658</v>
      </c>
      <c r="F163" s="41" t="s">
        <v>957</v>
      </c>
      <c r="G163" s="41" t="s">
        <v>654</v>
      </c>
      <c r="H163" s="41" t="s">
        <v>718</v>
      </c>
      <c r="I163" s="41" t="s">
        <v>693</v>
      </c>
      <c r="J163" s="41" t="s">
        <v>678</v>
      </c>
      <c r="K163" s="41" t="s">
        <v>694</v>
      </c>
      <c r="L163" s="41" t="s">
        <v>695</v>
      </c>
      <c r="M163" s="41">
        <v>0.6</v>
      </c>
      <c r="N163" s="44"/>
    </row>
    <row r="164" customHeight="1" spans="1:14">
      <c r="A164" s="38">
        <v>853</v>
      </c>
      <c r="B164" s="39" t="s">
        <v>958</v>
      </c>
      <c r="C164" s="39" t="s">
        <v>691</v>
      </c>
      <c r="D164" s="39" t="s">
        <v>640</v>
      </c>
      <c r="E164" s="39" t="s">
        <v>658</v>
      </c>
      <c r="F164" s="39" t="s">
        <v>959</v>
      </c>
      <c r="G164" s="39" t="s">
        <v>656</v>
      </c>
      <c r="H164" s="39" t="s">
        <v>676</v>
      </c>
      <c r="I164" s="39" t="s">
        <v>693</v>
      </c>
      <c r="J164" s="39" t="s">
        <v>709</v>
      </c>
      <c r="K164" s="39" t="s">
        <v>694</v>
      </c>
      <c r="L164" s="39" t="s">
        <v>684</v>
      </c>
      <c r="M164" s="39">
        <v>0.85</v>
      </c>
      <c r="N164" s="43"/>
    </row>
    <row r="165" customHeight="1" spans="1:14">
      <c r="A165" s="40">
        <v>854</v>
      </c>
      <c r="B165" s="41" t="s">
        <v>960</v>
      </c>
      <c r="C165" s="41" t="s">
        <v>691</v>
      </c>
      <c r="D165" s="41" t="s">
        <v>647</v>
      </c>
      <c r="E165" s="41" t="s">
        <v>658</v>
      </c>
      <c r="F165" s="41" t="s">
        <v>961</v>
      </c>
      <c r="G165" s="41" t="s">
        <v>653</v>
      </c>
      <c r="H165" s="41" t="s">
        <v>687</v>
      </c>
      <c r="I165" s="41" t="s">
        <v>708</v>
      </c>
      <c r="J165" s="41" t="s">
        <v>678</v>
      </c>
      <c r="K165" s="41" t="s">
        <v>710</v>
      </c>
      <c r="L165" s="41" t="s">
        <v>680</v>
      </c>
      <c r="M165" s="41">
        <v>0.9</v>
      </c>
      <c r="N165" s="44"/>
    </row>
    <row r="166" customHeight="1" spans="1:14">
      <c r="A166" s="38">
        <v>855</v>
      </c>
      <c r="B166" s="39" t="s">
        <v>929</v>
      </c>
      <c r="C166" s="39" t="s">
        <v>691</v>
      </c>
      <c r="D166" s="39" t="s">
        <v>646</v>
      </c>
      <c r="E166" s="39" t="s">
        <v>658</v>
      </c>
      <c r="F166" s="39" t="s">
        <v>962</v>
      </c>
      <c r="G166" s="39" t="s">
        <v>654</v>
      </c>
      <c r="H166" s="39" t="s">
        <v>707</v>
      </c>
      <c r="I166" s="39" t="s">
        <v>708</v>
      </c>
      <c r="J166" s="39" t="s">
        <v>678</v>
      </c>
      <c r="K166" s="39" t="s">
        <v>679</v>
      </c>
      <c r="L166" s="39" t="s">
        <v>680</v>
      </c>
      <c r="M166" s="39">
        <v>0.9</v>
      </c>
      <c r="N166" s="43"/>
    </row>
    <row r="167" customHeight="1" spans="1:14">
      <c r="A167" s="40">
        <v>856</v>
      </c>
      <c r="B167" s="41" t="s">
        <v>841</v>
      </c>
      <c r="C167" s="41" t="s">
        <v>691</v>
      </c>
      <c r="D167" s="41" t="s">
        <v>641</v>
      </c>
      <c r="E167" s="41" t="s">
        <v>658</v>
      </c>
      <c r="F167" s="41" t="s">
        <v>963</v>
      </c>
      <c r="G167" s="41" t="s">
        <v>652</v>
      </c>
      <c r="H167" s="41" t="s">
        <v>707</v>
      </c>
      <c r="I167" s="41" t="s">
        <v>700</v>
      </c>
      <c r="J167" s="41" t="s">
        <v>678</v>
      </c>
      <c r="K167" s="41" t="s">
        <v>679</v>
      </c>
      <c r="L167" s="41" t="s">
        <v>695</v>
      </c>
      <c r="M167" s="41">
        <v>0.6</v>
      </c>
      <c r="N167" s="44"/>
    </row>
    <row r="168" customHeight="1" spans="1:14">
      <c r="A168" s="38">
        <v>857</v>
      </c>
      <c r="B168" s="39" t="s">
        <v>964</v>
      </c>
      <c r="C168" s="39" t="s">
        <v>691</v>
      </c>
      <c r="D168" s="39" t="s">
        <v>640</v>
      </c>
      <c r="E168" s="39" t="s">
        <v>657</v>
      </c>
      <c r="F168" s="39" t="s">
        <v>965</v>
      </c>
      <c r="G168" s="39" t="s">
        <v>655</v>
      </c>
      <c r="H168" s="39" t="s">
        <v>722</v>
      </c>
      <c r="I168" s="39" t="s">
        <v>677</v>
      </c>
      <c r="J168" s="39" t="s">
        <v>709</v>
      </c>
      <c r="K168" s="39" t="s">
        <v>689</v>
      </c>
      <c r="L168" s="39" t="s">
        <v>743</v>
      </c>
      <c r="M168" s="39">
        <v>0</v>
      </c>
      <c r="N168" s="43"/>
    </row>
    <row r="169" customHeight="1" spans="1:14">
      <c r="A169" s="40">
        <v>858</v>
      </c>
      <c r="B169" s="41" t="s">
        <v>966</v>
      </c>
      <c r="C169" s="41" t="s">
        <v>674</v>
      </c>
      <c r="D169" s="41" t="s">
        <v>641</v>
      </c>
      <c r="E169" s="41" t="s">
        <v>657</v>
      </c>
      <c r="F169" s="41" t="s">
        <v>967</v>
      </c>
      <c r="G169" s="41" t="s">
        <v>652</v>
      </c>
      <c r="H169" s="41" t="s">
        <v>718</v>
      </c>
      <c r="I169" s="41" t="s">
        <v>693</v>
      </c>
      <c r="J169" s="41" t="s">
        <v>678</v>
      </c>
      <c r="K169" s="41" t="s">
        <v>732</v>
      </c>
      <c r="L169" s="41" t="s">
        <v>719</v>
      </c>
      <c r="M169" s="41">
        <v>0</v>
      </c>
      <c r="N169" s="44"/>
    </row>
    <row r="170" customHeight="1" spans="1:14">
      <c r="A170" s="38">
        <v>859</v>
      </c>
      <c r="B170" s="39" t="s">
        <v>968</v>
      </c>
      <c r="C170" s="39" t="s">
        <v>691</v>
      </c>
      <c r="D170" s="39" t="s">
        <v>649</v>
      </c>
      <c r="E170" s="39" t="s">
        <v>658</v>
      </c>
      <c r="F170" s="39" t="s">
        <v>969</v>
      </c>
      <c r="G170" s="39" t="s">
        <v>652</v>
      </c>
      <c r="H170" s="39" t="s">
        <v>722</v>
      </c>
      <c r="I170" s="39" t="s">
        <v>708</v>
      </c>
      <c r="J170" s="39" t="s">
        <v>678</v>
      </c>
      <c r="K170" s="39" t="s">
        <v>694</v>
      </c>
      <c r="L170" s="39" t="s">
        <v>719</v>
      </c>
      <c r="M170" s="39">
        <v>0</v>
      </c>
      <c r="N170" s="43"/>
    </row>
    <row r="171" customHeight="1" spans="1:14">
      <c r="A171" s="40">
        <v>860</v>
      </c>
      <c r="B171" s="41" t="s">
        <v>946</v>
      </c>
      <c r="C171" s="41" t="s">
        <v>691</v>
      </c>
      <c r="D171" s="41" t="s">
        <v>641</v>
      </c>
      <c r="E171" s="41" t="s">
        <v>657</v>
      </c>
      <c r="F171" s="41" t="s">
        <v>970</v>
      </c>
      <c r="G171" s="41" t="s">
        <v>655</v>
      </c>
      <c r="H171" s="41" t="s">
        <v>687</v>
      </c>
      <c r="I171" s="41" t="s">
        <v>693</v>
      </c>
      <c r="J171" s="41" t="s">
        <v>678</v>
      </c>
      <c r="K171" s="41" t="s">
        <v>701</v>
      </c>
      <c r="L171" s="41" t="s">
        <v>695</v>
      </c>
      <c r="M171" s="41">
        <v>0.6</v>
      </c>
      <c r="N171" s="44"/>
    </row>
    <row r="172" customHeight="1" spans="1:14">
      <c r="A172" s="38">
        <v>861</v>
      </c>
      <c r="B172" s="39" t="s">
        <v>814</v>
      </c>
      <c r="C172" s="39" t="s">
        <v>691</v>
      </c>
      <c r="D172" s="39" t="s">
        <v>646</v>
      </c>
      <c r="E172" s="39" t="s">
        <v>658</v>
      </c>
      <c r="F172" s="39" t="s">
        <v>971</v>
      </c>
      <c r="G172" s="39" t="s">
        <v>655</v>
      </c>
      <c r="H172" s="39" t="s">
        <v>722</v>
      </c>
      <c r="I172" s="39" t="s">
        <v>708</v>
      </c>
      <c r="J172" s="39" t="s">
        <v>678</v>
      </c>
      <c r="K172" s="39" t="s">
        <v>694</v>
      </c>
      <c r="L172" s="39" t="s">
        <v>684</v>
      </c>
      <c r="M172" s="39">
        <v>0.85</v>
      </c>
      <c r="N172" s="43"/>
    </row>
    <row r="173" customHeight="1" spans="1:14">
      <c r="A173" s="40">
        <v>862</v>
      </c>
      <c r="B173" s="41" t="s">
        <v>966</v>
      </c>
      <c r="C173" s="41" t="s">
        <v>674</v>
      </c>
      <c r="D173" s="41" t="s">
        <v>641</v>
      </c>
      <c r="E173" s="41" t="s">
        <v>657</v>
      </c>
      <c r="F173" s="41" t="s">
        <v>972</v>
      </c>
      <c r="G173" s="41" t="s">
        <v>654</v>
      </c>
      <c r="H173" s="41" t="s">
        <v>683</v>
      </c>
      <c r="I173" s="41" t="s">
        <v>688</v>
      </c>
      <c r="J173" s="41" t="s">
        <v>678</v>
      </c>
      <c r="K173" s="41" t="s">
        <v>689</v>
      </c>
      <c r="L173" s="41" t="s">
        <v>719</v>
      </c>
      <c r="M173" s="41">
        <v>0</v>
      </c>
      <c r="N173" s="44"/>
    </row>
    <row r="174" customHeight="1" spans="1:14">
      <c r="A174" s="38">
        <v>863</v>
      </c>
      <c r="B174" s="39" t="s">
        <v>973</v>
      </c>
      <c r="C174" s="39" t="s">
        <v>691</v>
      </c>
      <c r="D174" s="39" t="s">
        <v>638</v>
      </c>
      <c r="E174" s="39" t="s">
        <v>658</v>
      </c>
      <c r="F174" s="39" t="s">
        <v>974</v>
      </c>
      <c r="G174" s="39" t="s">
        <v>653</v>
      </c>
      <c r="H174" s="39" t="s">
        <v>687</v>
      </c>
      <c r="I174" s="39" t="s">
        <v>700</v>
      </c>
      <c r="J174" s="39" t="s">
        <v>678</v>
      </c>
      <c r="K174" s="39" t="s">
        <v>732</v>
      </c>
      <c r="L174" s="39" t="s">
        <v>715</v>
      </c>
      <c r="M174" s="39">
        <v>0</v>
      </c>
      <c r="N174" s="43"/>
    </row>
    <row r="175" customHeight="1" spans="1:14">
      <c r="A175" s="40">
        <v>864</v>
      </c>
      <c r="B175" s="41" t="s">
        <v>975</v>
      </c>
      <c r="C175" s="41" t="s">
        <v>691</v>
      </c>
      <c r="D175" s="41" t="s">
        <v>647</v>
      </c>
      <c r="E175" s="41" t="s">
        <v>657</v>
      </c>
      <c r="F175" s="41" t="s">
        <v>976</v>
      </c>
      <c r="G175" s="41" t="s">
        <v>654</v>
      </c>
      <c r="H175" s="41" t="s">
        <v>683</v>
      </c>
      <c r="I175" s="41" t="s">
        <v>693</v>
      </c>
      <c r="J175" s="41" t="s">
        <v>678</v>
      </c>
      <c r="K175" s="41" t="s">
        <v>701</v>
      </c>
      <c r="L175" s="41" t="s">
        <v>743</v>
      </c>
      <c r="M175" s="41">
        <v>0</v>
      </c>
      <c r="N175" s="44"/>
    </row>
    <row r="176" customHeight="1" spans="1:14">
      <c r="A176" s="38">
        <v>865</v>
      </c>
      <c r="B176" s="39" t="s">
        <v>977</v>
      </c>
      <c r="C176" s="39" t="s">
        <v>691</v>
      </c>
      <c r="D176" s="39" t="s">
        <v>647</v>
      </c>
      <c r="E176" s="39" t="s">
        <v>657</v>
      </c>
      <c r="F176" s="39" t="s">
        <v>978</v>
      </c>
      <c r="G176" s="39" t="s">
        <v>655</v>
      </c>
      <c r="H176" s="39" t="s">
        <v>718</v>
      </c>
      <c r="I176" s="39" t="s">
        <v>677</v>
      </c>
      <c r="J176" s="39" t="s">
        <v>678</v>
      </c>
      <c r="K176" s="39" t="s">
        <v>694</v>
      </c>
      <c r="L176" s="39" t="s">
        <v>715</v>
      </c>
      <c r="M176" s="39">
        <v>0</v>
      </c>
      <c r="N176" s="43"/>
    </row>
    <row r="177" customHeight="1" spans="1:14">
      <c r="A177" s="40">
        <v>866</v>
      </c>
      <c r="B177" s="41" t="s">
        <v>832</v>
      </c>
      <c r="C177" s="41" t="s">
        <v>691</v>
      </c>
      <c r="D177" s="41" t="s">
        <v>649</v>
      </c>
      <c r="E177" s="41" t="s">
        <v>657</v>
      </c>
      <c r="F177" s="41" t="s">
        <v>979</v>
      </c>
      <c r="G177" s="41" t="s">
        <v>654</v>
      </c>
      <c r="H177" s="41" t="s">
        <v>722</v>
      </c>
      <c r="I177" s="41" t="s">
        <v>677</v>
      </c>
      <c r="J177" s="41" t="s">
        <v>678</v>
      </c>
      <c r="K177" s="41" t="s">
        <v>701</v>
      </c>
      <c r="L177" s="41" t="s">
        <v>715</v>
      </c>
      <c r="M177" s="41">
        <v>0</v>
      </c>
      <c r="N177" s="44"/>
    </row>
    <row r="178" customHeight="1" spans="1:14">
      <c r="A178" s="38">
        <v>867</v>
      </c>
      <c r="B178" s="39" t="s">
        <v>980</v>
      </c>
      <c r="C178" s="39" t="s">
        <v>674</v>
      </c>
      <c r="D178" s="39" t="s">
        <v>640</v>
      </c>
      <c r="E178" s="39" t="s">
        <v>658</v>
      </c>
      <c r="F178" s="39" t="s">
        <v>981</v>
      </c>
      <c r="G178" s="39" t="s">
        <v>656</v>
      </c>
      <c r="H178" s="39" t="s">
        <v>727</v>
      </c>
      <c r="I178" s="39" t="s">
        <v>677</v>
      </c>
      <c r="J178" s="39" t="s">
        <v>709</v>
      </c>
      <c r="K178" s="39" t="s">
        <v>679</v>
      </c>
      <c r="L178" s="39" t="s">
        <v>695</v>
      </c>
      <c r="M178" s="39">
        <v>0.6</v>
      </c>
      <c r="N178" s="43"/>
    </row>
    <row r="179" customHeight="1" spans="1:14">
      <c r="A179" s="40">
        <v>868</v>
      </c>
      <c r="B179" s="41" t="s">
        <v>982</v>
      </c>
      <c r="C179" s="41" t="s">
        <v>674</v>
      </c>
      <c r="D179" s="41" t="s">
        <v>638</v>
      </c>
      <c r="E179" s="41" t="s">
        <v>651</v>
      </c>
      <c r="F179" s="41" t="s">
        <v>983</v>
      </c>
      <c r="G179" s="41" t="s">
        <v>653</v>
      </c>
      <c r="H179" s="41" t="s">
        <v>718</v>
      </c>
      <c r="I179" s="41" t="s">
        <v>693</v>
      </c>
      <c r="J179" s="41" t="s">
        <v>709</v>
      </c>
      <c r="K179" s="41" t="s">
        <v>732</v>
      </c>
      <c r="L179" s="41" t="s">
        <v>684</v>
      </c>
      <c r="M179" s="41">
        <v>0.85</v>
      </c>
      <c r="N179" s="44"/>
    </row>
    <row r="180" customHeight="1" spans="1:14">
      <c r="A180" s="38">
        <v>869</v>
      </c>
      <c r="B180" s="39" t="s">
        <v>984</v>
      </c>
      <c r="C180" s="39" t="s">
        <v>691</v>
      </c>
      <c r="D180" s="39" t="s">
        <v>644</v>
      </c>
      <c r="E180" s="39" t="s">
        <v>657</v>
      </c>
      <c r="F180" s="39" t="s">
        <v>985</v>
      </c>
      <c r="G180" s="39" t="s">
        <v>656</v>
      </c>
      <c r="H180" s="39" t="s">
        <v>683</v>
      </c>
      <c r="I180" s="39" t="s">
        <v>708</v>
      </c>
      <c r="J180" s="39" t="s">
        <v>678</v>
      </c>
      <c r="K180" s="39" t="s">
        <v>689</v>
      </c>
      <c r="L180" s="39" t="s">
        <v>695</v>
      </c>
      <c r="M180" s="39">
        <v>0.6</v>
      </c>
      <c r="N180" s="43"/>
    </row>
    <row r="181" customHeight="1" spans="1:14">
      <c r="A181" s="40">
        <v>870</v>
      </c>
      <c r="B181" s="41" t="s">
        <v>986</v>
      </c>
      <c r="C181" s="41" t="s">
        <v>691</v>
      </c>
      <c r="D181" s="41" t="s">
        <v>647</v>
      </c>
      <c r="E181" s="41" t="s">
        <v>658</v>
      </c>
      <c r="F181" s="41" t="s">
        <v>987</v>
      </c>
      <c r="G181" s="41" t="s">
        <v>655</v>
      </c>
      <c r="H181" s="41" t="s">
        <v>676</v>
      </c>
      <c r="I181" s="41" t="s">
        <v>693</v>
      </c>
      <c r="J181" s="41" t="s">
        <v>709</v>
      </c>
      <c r="K181" s="41" t="s">
        <v>694</v>
      </c>
      <c r="L181" s="41" t="s">
        <v>743</v>
      </c>
      <c r="M181" s="41">
        <v>0</v>
      </c>
      <c r="N181" s="44"/>
    </row>
    <row r="182" customHeight="1" spans="1:14">
      <c r="A182" s="38">
        <v>871</v>
      </c>
      <c r="B182" s="39" t="s">
        <v>988</v>
      </c>
      <c r="C182" s="39" t="s">
        <v>691</v>
      </c>
      <c r="D182" s="39" t="s">
        <v>640</v>
      </c>
      <c r="E182" s="39" t="s">
        <v>658</v>
      </c>
      <c r="F182" s="39" t="s">
        <v>989</v>
      </c>
      <c r="G182" s="39" t="s">
        <v>652</v>
      </c>
      <c r="H182" s="39" t="s">
        <v>718</v>
      </c>
      <c r="I182" s="39" t="s">
        <v>688</v>
      </c>
      <c r="J182" s="39" t="s">
        <v>709</v>
      </c>
      <c r="K182" s="39" t="s">
        <v>710</v>
      </c>
      <c r="L182" s="39" t="s">
        <v>684</v>
      </c>
      <c r="M182" s="39">
        <v>0.85</v>
      </c>
      <c r="N182" s="43"/>
    </row>
    <row r="183" customHeight="1" spans="1:14">
      <c r="A183" s="40">
        <v>872</v>
      </c>
      <c r="B183" s="41" t="s">
        <v>946</v>
      </c>
      <c r="C183" s="41" t="s">
        <v>691</v>
      </c>
      <c r="D183" s="41" t="s">
        <v>641</v>
      </c>
      <c r="E183" s="41" t="s">
        <v>657</v>
      </c>
      <c r="F183" s="41" t="s">
        <v>990</v>
      </c>
      <c r="G183" s="41" t="s">
        <v>656</v>
      </c>
      <c r="H183" s="41" t="s">
        <v>676</v>
      </c>
      <c r="I183" s="41" t="s">
        <v>677</v>
      </c>
      <c r="J183" s="41" t="s">
        <v>678</v>
      </c>
      <c r="K183" s="41" t="s">
        <v>694</v>
      </c>
      <c r="L183" s="41" t="s">
        <v>743</v>
      </c>
      <c r="M183" s="41">
        <v>0</v>
      </c>
      <c r="N183" s="44"/>
    </row>
    <row r="184" customHeight="1" spans="1:14">
      <c r="A184" s="38">
        <v>873</v>
      </c>
      <c r="B184" s="39" t="s">
        <v>991</v>
      </c>
      <c r="C184" s="39" t="s">
        <v>674</v>
      </c>
      <c r="D184" s="39" t="s">
        <v>647</v>
      </c>
      <c r="E184" s="39" t="s">
        <v>658</v>
      </c>
      <c r="F184" s="39" t="s">
        <v>992</v>
      </c>
      <c r="G184" s="39" t="s">
        <v>655</v>
      </c>
      <c r="H184" s="39" t="s">
        <v>687</v>
      </c>
      <c r="I184" s="39" t="s">
        <v>693</v>
      </c>
      <c r="J184" s="39" t="s">
        <v>709</v>
      </c>
      <c r="K184" s="39" t="s">
        <v>710</v>
      </c>
      <c r="L184" s="39" t="s">
        <v>719</v>
      </c>
      <c r="M184" s="39">
        <v>0</v>
      </c>
      <c r="N184" s="43"/>
    </row>
    <row r="185" customHeight="1" spans="1:14">
      <c r="A185" s="40">
        <v>874</v>
      </c>
      <c r="B185" s="41" t="s">
        <v>993</v>
      </c>
      <c r="C185" s="41" t="s">
        <v>674</v>
      </c>
      <c r="D185" s="41" t="s">
        <v>646</v>
      </c>
      <c r="E185" s="41" t="s">
        <v>658</v>
      </c>
      <c r="F185" s="41" t="s">
        <v>994</v>
      </c>
      <c r="G185" s="41" t="s">
        <v>653</v>
      </c>
      <c r="H185" s="41" t="s">
        <v>718</v>
      </c>
      <c r="I185" s="41" t="s">
        <v>693</v>
      </c>
      <c r="J185" s="41" t="s">
        <v>709</v>
      </c>
      <c r="K185" s="41" t="s">
        <v>732</v>
      </c>
      <c r="L185" s="41" t="s">
        <v>719</v>
      </c>
      <c r="M185" s="41">
        <v>0</v>
      </c>
      <c r="N185" s="44"/>
    </row>
    <row r="186" customHeight="1" spans="1:14">
      <c r="A186" s="38">
        <v>875</v>
      </c>
      <c r="B186" s="39" t="s">
        <v>882</v>
      </c>
      <c r="C186" s="39" t="s">
        <v>691</v>
      </c>
      <c r="D186" s="39" t="s">
        <v>639</v>
      </c>
      <c r="E186" s="39" t="s">
        <v>658</v>
      </c>
      <c r="F186" s="39" t="s">
        <v>995</v>
      </c>
      <c r="G186" s="39" t="s">
        <v>653</v>
      </c>
      <c r="H186" s="39" t="s">
        <v>687</v>
      </c>
      <c r="I186" s="39" t="s">
        <v>677</v>
      </c>
      <c r="J186" s="39" t="s">
        <v>709</v>
      </c>
      <c r="K186" s="39" t="s">
        <v>689</v>
      </c>
      <c r="L186" s="39" t="s">
        <v>695</v>
      </c>
      <c r="M186" s="39">
        <v>0.6</v>
      </c>
      <c r="N186" s="43"/>
    </row>
    <row r="187" customHeight="1" spans="1:14">
      <c r="A187" s="40">
        <v>876</v>
      </c>
      <c r="B187" s="41" t="s">
        <v>923</v>
      </c>
      <c r="C187" s="41" t="s">
        <v>674</v>
      </c>
      <c r="D187" s="41" t="s">
        <v>641</v>
      </c>
      <c r="E187" s="41" t="s">
        <v>658</v>
      </c>
      <c r="F187" s="41" t="s">
        <v>996</v>
      </c>
      <c r="G187" s="41" t="s">
        <v>655</v>
      </c>
      <c r="H187" s="41" t="s">
        <v>683</v>
      </c>
      <c r="I187" s="41" t="s">
        <v>693</v>
      </c>
      <c r="J187" s="41" t="s">
        <v>709</v>
      </c>
      <c r="K187" s="41" t="s">
        <v>689</v>
      </c>
      <c r="L187" s="41" t="s">
        <v>695</v>
      </c>
      <c r="M187" s="41">
        <v>0.6</v>
      </c>
      <c r="N187" s="44"/>
    </row>
    <row r="188" customHeight="1" spans="1:14">
      <c r="A188" s="38">
        <v>877</v>
      </c>
      <c r="B188" s="39" t="s">
        <v>966</v>
      </c>
      <c r="C188" s="39" t="s">
        <v>674</v>
      </c>
      <c r="D188" s="39" t="s">
        <v>641</v>
      </c>
      <c r="E188" s="39" t="s">
        <v>657</v>
      </c>
      <c r="F188" s="39" t="s">
        <v>997</v>
      </c>
      <c r="G188" s="39" t="s">
        <v>654</v>
      </c>
      <c r="H188" s="39" t="s">
        <v>727</v>
      </c>
      <c r="I188" s="39" t="s">
        <v>700</v>
      </c>
      <c r="J188" s="39" t="s">
        <v>678</v>
      </c>
      <c r="K188" s="39" t="s">
        <v>701</v>
      </c>
      <c r="L188" s="39" t="s">
        <v>680</v>
      </c>
      <c r="M188" s="39">
        <v>0.9</v>
      </c>
      <c r="N188" s="43"/>
    </row>
    <row r="189" customHeight="1" spans="1:14">
      <c r="A189" s="40">
        <v>878</v>
      </c>
      <c r="B189" s="41" t="s">
        <v>720</v>
      </c>
      <c r="C189" s="41" t="s">
        <v>691</v>
      </c>
      <c r="D189" s="41" t="s">
        <v>646</v>
      </c>
      <c r="E189" s="41" t="s">
        <v>658</v>
      </c>
      <c r="F189" s="41" t="s">
        <v>998</v>
      </c>
      <c r="G189" s="41" t="s">
        <v>652</v>
      </c>
      <c r="H189" s="41" t="s">
        <v>676</v>
      </c>
      <c r="I189" s="41" t="s">
        <v>708</v>
      </c>
      <c r="J189" s="41" t="s">
        <v>678</v>
      </c>
      <c r="K189" s="41" t="s">
        <v>710</v>
      </c>
      <c r="L189" s="41" t="s">
        <v>715</v>
      </c>
      <c r="M189" s="41">
        <v>0</v>
      </c>
      <c r="N189" s="44"/>
    </row>
    <row r="190" customHeight="1" spans="1:14">
      <c r="A190" s="38">
        <v>879</v>
      </c>
      <c r="B190" s="39" t="s">
        <v>999</v>
      </c>
      <c r="C190" s="39" t="s">
        <v>674</v>
      </c>
      <c r="D190" s="39" t="s">
        <v>647</v>
      </c>
      <c r="E190" s="39" t="s">
        <v>651</v>
      </c>
      <c r="F190" s="39" t="s">
        <v>1000</v>
      </c>
      <c r="G190" s="39" t="s">
        <v>653</v>
      </c>
      <c r="H190" s="39" t="s">
        <v>718</v>
      </c>
      <c r="I190" s="39" t="s">
        <v>708</v>
      </c>
      <c r="J190" s="39" t="s">
        <v>678</v>
      </c>
      <c r="K190" s="39" t="s">
        <v>732</v>
      </c>
      <c r="L190" s="39" t="s">
        <v>680</v>
      </c>
      <c r="M190" s="39">
        <v>0.9</v>
      </c>
      <c r="N190" s="43"/>
    </row>
    <row r="191" customHeight="1" spans="1:14">
      <c r="A191" s="40">
        <v>880</v>
      </c>
      <c r="B191" s="41" t="s">
        <v>868</v>
      </c>
      <c r="C191" s="41" t="s">
        <v>691</v>
      </c>
      <c r="D191" s="41" t="s">
        <v>644</v>
      </c>
      <c r="E191" s="41" t="s">
        <v>651</v>
      </c>
      <c r="F191" s="41" t="s">
        <v>1001</v>
      </c>
      <c r="G191" s="41" t="s">
        <v>655</v>
      </c>
      <c r="H191" s="41" t="s">
        <v>683</v>
      </c>
      <c r="I191" s="41" t="s">
        <v>708</v>
      </c>
      <c r="J191" s="41" t="s">
        <v>709</v>
      </c>
      <c r="K191" s="41" t="s">
        <v>710</v>
      </c>
      <c r="L191" s="41" t="s">
        <v>719</v>
      </c>
      <c r="M191" s="41">
        <v>0</v>
      </c>
      <c r="N191" s="44"/>
    </row>
    <row r="192" customHeight="1" spans="1:14">
      <c r="A192" s="38">
        <v>881</v>
      </c>
      <c r="B192" s="39" t="s">
        <v>954</v>
      </c>
      <c r="C192" s="39" t="s">
        <v>674</v>
      </c>
      <c r="D192" s="39" t="s">
        <v>645</v>
      </c>
      <c r="E192" s="39" t="s">
        <v>657</v>
      </c>
      <c r="F192" s="39" t="s">
        <v>1002</v>
      </c>
      <c r="G192" s="39" t="s">
        <v>654</v>
      </c>
      <c r="H192" s="39" t="s">
        <v>727</v>
      </c>
      <c r="I192" s="39" t="s">
        <v>693</v>
      </c>
      <c r="J192" s="39" t="s">
        <v>678</v>
      </c>
      <c r="K192" s="39" t="s">
        <v>710</v>
      </c>
      <c r="L192" s="39" t="s">
        <v>743</v>
      </c>
      <c r="M192" s="39">
        <v>0</v>
      </c>
      <c r="N192" s="43"/>
    </row>
    <row r="193" customHeight="1" spans="1:14">
      <c r="A193" s="40">
        <v>882</v>
      </c>
      <c r="B193" s="41" t="s">
        <v>1003</v>
      </c>
      <c r="C193" s="41" t="s">
        <v>691</v>
      </c>
      <c r="D193" s="41" t="s">
        <v>641</v>
      </c>
      <c r="E193" s="41" t="s">
        <v>658</v>
      </c>
      <c r="F193" s="41" t="s">
        <v>1004</v>
      </c>
      <c r="G193" s="41" t="s">
        <v>654</v>
      </c>
      <c r="H193" s="41" t="s">
        <v>676</v>
      </c>
      <c r="I193" s="41" t="s">
        <v>677</v>
      </c>
      <c r="J193" s="41" t="s">
        <v>678</v>
      </c>
      <c r="K193" s="41" t="s">
        <v>689</v>
      </c>
      <c r="L193" s="41" t="s">
        <v>695</v>
      </c>
      <c r="M193" s="41">
        <v>0.6</v>
      </c>
      <c r="N193" s="44"/>
    </row>
    <row r="194" customHeight="1" spans="1:14">
      <c r="A194" s="38">
        <v>883</v>
      </c>
      <c r="B194" s="39" t="s">
        <v>1005</v>
      </c>
      <c r="C194" s="39" t="s">
        <v>691</v>
      </c>
      <c r="D194" s="39" t="s">
        <v>642</v>
      </c>
      <c r="E194" s="39" t="s">
        <v>658</v>
      </c>
      <c r="F194" s="39" t="s">
        <v>1006</v>
      </c>
      <c r="G194" s="39" t="s">
        <v>655</v>
      </c>
      <c r="H194" s="39" t="s">
        <v>683</v>
      </c>
      <c r="I194" s="39" t="s">
        <v>677</v>
      </c>
      <c r="J194" s="39" t="s">
        <v>678</v>
      </c>
      <c r="K194" s="39" t="s">
        <v>679</v>
      </c>
      <c r="L194" s="39" t="s">
        <v>695</v>
      </c>
      <c r="M194" s="39">
        <v>0.6</v>
      </c>
      <c r="N194" s="43"/>
    </row>
    <row r="195" customHeight="1" spans="1:14">
      <c r="A195" s="40">
        <v>884</v>
      </c>
      <c r="B195" s="41" t="s">
        <v>1007</v>
      </c>
      <c r="C195" s="41" t="s">
        <v>674</v>
      </c>
      <c r="D195" s="41" t="s">
        <v>649</v>
      </c>
      <c r="E195" s="41" t="s">
        <v>658</v>
      </c>
      <c r="F195" s="41" t="s">
        <v>1008</v>
      </c>
      <c r="G195" s="41" t="s">
        <v>654</v>
      </c>
      <c r="H195" s="41" t="s">
        <v>676</v>
      </c>
      <c r="I195" s="41" t="s">
        <v>688</v>
      </c>
      <c r="J195" s="41" t="s">
        <v>678</v>
      </c>
      <c r="K195" s="41" t="s">
        <v>689</v>
      </c>
      <c r="L195" s="41" t="s">
        <v>743</v>
      </c>
      <c r="M195" s="41">
        <v>0</v>
      </c>
      <c r="N195" s="44"/>
    </row>
    <row r="196" customHeight="1" spans="1:14">
      <c r="A196" s="38">
        <v>885</v>
      </c>
      <c r="B196" s="39" t="s">
        <v>1009</v>
      </c>
      <c r="C196" s="39" t="s">
        <v>691</v>
      </c>
      <c r="D196" s="39" t="s">
        <v>645</v>
      </c>
      <c r="E196" s="39" t="s">
        <v>657</v>
      </c>
      <c r="F196" s="39" t="s">
        <v>1010</v>
      </c>
      <c r="G196" s="39" t="s">
        <v>655</v>
      </c>
      <c r="H196" s="39" t="s">
        <v>718</v>
      </c>
      <c r="I196" s="39" t="s">
        <v>693</v>
      </c>
      <c r="J196" s="39" t="s">
        <v>678</v>
      </c>
      <c r="K196" s="39" t="s">
        <v>701</v>
      </c>
      <c r="L196" s="39" t="s">
        <v>715</v>
      </c>
      <c r="M196" s="39">
        <v>0</v>
      </c>
      <c r="N196" s="43"/>
    </row>
    <row r="197" customHeight="1" spans="1:14">
      <c r="A197" s="40">
        <v>886</v>
      </c>
      <c r="B197" s="41" t="s">
        <v>1011</v>
      </c>
      <c r="C197" s="41" t="s">
        <v>703</v>
      </c>
      <c r="D197" s="41" t="s">
        <v>642</v>
      </c>
      <c r="E197" s="41" t="s">
        <v>658</v>
      </c>
      <c r="F197" s="41" t="s">
        <v>1012</v>
      </c>
      <c r="G197" s="41" t="s">
        <v>652</v>
      </c>
      <c r="H197" s="41" t="s">
        <v>718</v>
      </c>
      <c r="I197" s="41" t="s">
        <v>693</v>
      </c>
      <c r="J197" s="41" t="s">
        <v>709</v>
      </c>
      <c r="K197" s="41" t="s">
        <v>694</v>
      </c>
      <c r="L197" s="41" t="s">
        <v>680</v>
      </c>
      <c r="M197" s="41">
        <v>0.9</v>
      </c>
      <c r="N197" s="44"/>
    </row>
    <row r="198" customHeight="1" spans="1:14">
      <c r="A198" s="38">
        <v>887</v>
      </c>
      <c r="B198" s="39" t="s">
        <v>1013</v>
      </c>
      <c r="C198" s="39" t="s">
        <v>691</v>
      </c>
      <c r="D198" s="39" t="s">
        <v>646</v>
      </c>
      <c r="E198" s="39" t="s">
        <v>651</v>
      </c>
      <c r="F198" s="39" t="s">
        <v>1014</v>
      </c>
      <c r="G198" s="39" t="s">
        <v>652</v>
      </c>
      <c r="H198" s="39" t="s">
        <v>687</v>
      </c>
      <c r="I198" s="39" t="s">
        <v>700</v>
      </c>
      <c r="J198" s="39" t="s">
        <v>709</v>
      </c>
      <c r="K198" s="39" t="s">
        <v>679</v>
      </c>
      <c r="L198" s="39" t="s">
        <v>743</v>
      </c>
      <c r="M198" s="39">
        <v>0</v>
      </c>
      <c r="N198" s="43"/>
    </row>
    <row r="199" customHeight="1" spans="1:14">
      <c r="A199" s="40">
        <v>888</v>
      </c>
      <c r="B199" s="41" t="s">
        <v>905</v>
      </c>
      <c r="C199" s="41" t="s">
        <v>691</v>
      </c>
      <c r="D199" s="41" t="s">
        <v>647</v>
      </c>
      <c r="E199" s="41" t="s">
        <v>658</v>
      </c>
      <c r="F199" s="41" t="s">
        <v>1015</v>
      </c>
      <c r="G199" s="41" t="s">
        <v>654</v>
      </c>
      <c r="H199" s="41" t="s">
        <v>722</v>
      </c>
      <c r="I199" s="41" t="s">
        <v>700</v>
      </c>
      <c r="J199" s="41" t="s">
        <v>678</v>
      </c>
      <c r="K199" s="41" t="s">
        <v>732</v>
      </c>
      <c r="L199" s="41" t="s">
        <v>743</v>
      </c>
      <c r="M199" s="41">
        <v>0</v>
      </c>
      <c r="N199" s="44"/>
    </row>
    <row r="200" customHeight="1" spans="1:14">
      <c r="A200" s="38">
        <v>889</v>
      </c>
      <c r="B200" s="39" t="s">
        <v>1016</v>
      </c>
      <c r="C200" s="39" t="s">
        <v>674</v>
      </c>
      <c r="D200" s="39" t="s">
        <v>647</v>
      </c>
      <c r="E200" s="39" t="s">
        <v>658</v>
      </c>
      <c r="F200" s="39" t="s">
        <v>1017</v>
      </c>
      <c r="G200" s="39" t="s">
        <v>652</v>
      </c>
      <c r="H200" s="39" t="s">
        <v>683</v>
      </c>
      <c r="I200" s="39" t="s">
        <v>693</v>
      </c>
      <c r="J200" s="39" t="s">
        <v>709</v>
      </c>
      <c r="K200" s="39" t="s">
        <v>694</v>
      </c>
      <c r="L200" s="39" t="s">
        <v>684</v>
      </c>
      <c r="M200" s="39">
        <v>0.85</v>
      </c>
      <c r="N200" s="43"/>
    </row>
    <row r="201" customHeight="1" spans="1:14">
      <c r="A201" s="40">
        <v>890</v>
      </c>
      <c r="B201" s="41" t="s">
        <v>1018</v>
      </c>
      <c r="C201" s="41" t="s">
        <v>674</v>
      </c>
      <c r="D201" s="41" t="s">
        <v>640</v>
      </c>
      <c r="E201" s="41" t="s">
        <v>658</v>
      </c>
      <c r="F201" s="41" t="s">
        <v>1019</v>
      </c>
      <c r="G201" s="41" t="s">
        <v>654</v>
      </c>
      <c r="H201" s="41" t="s">
        <v>676</v>
      </c>
      <c r="I201" s="41" t="s">
        <v>688</v>
      </c>
      <c r="J201" s="41" t="s">
        <v>678</v>
      </c>
      <c r="K201" s="41" t="s">
        <v>694</v>
      </c>
      <c r="L201" s="41" t="s">
        <v>743</v>
      </c>
      <c r="M201" s="41">
        <v>0</v>
      </c>
      <c r="N201" s="44"/>
    </row>
    <row r="202" customHeight="1" spans="1:14">
      <c r="A202" s="38">
        <v>891</v>
      </c>
      <c r="B202" s="39" t="s">
        <v>1020</v>
      </c>
      <c r="C202" s="39" t="s">
        <v>674</v>
      </c>
      <c r="D202" s="39" t="s">
        <v>640</v>
      </c>
      <c r="E202" s="39" t="s">
        <v>658</v>
      </c>
      <c r="F202" s="39" t="s">
        <v>1021</v>
      </c>
      <c r="G202" s="39" t="s">
        <v>652</v>
      </c>
      <c r="H202" s="39" t="s">
        <v>683</v>
      </c>
      <c r="I202" s="39" t="s">
        <v>677</v>
      </c>
      <c r="J202" s="39" t="s">
        <v>709</v>
      </c>
      <c r="K202" s="39" t="s">
        <v>689</v>
      </c>
      <c r="L202" s="39" t="s">
        <v>684</v>
      </c>
      <c r="M202" s="39">
        <v>0.85</v>
      </c>
      <c r="N202" s="43"/>
    </row>
    <row r="203" customHeight="1" spans="1:14">
      <c r="A203" s="40">
        <v>892</v>
      </c>
      <c r="B203" s="41" t="s">
        <v>856</v>
      </c>
      <c r="C203" s="41" t="s">
        <v>674</v>
      </c>
      <c r="D203" s="41" t="s">
        <v>645</v>
      </c>
      <c r="E203" s="41" t="s">
        <v>658</v>
      </c>
      <c r="F203" s="41" t="s">
        <v>1022</v>
      </c>
      <c r="G203" s="41" t="s">
        <v>652</v>
      </c>
      <c r="H203" s="41" t="s">
        <v>727</v>
      </c>
      <c r="I203" s="41" t="s">
        <v>693</v>
      </c>
      <c r="J203" s="41" t="s">
        <v>709</v>
      </c>
      <c r="K203" s="41" t="s">
        <v>694</v>
      </c>
      <c r="L203" s="41" t="s">
        <v>743</v>
      </c>
      <c r="M203" s="41">
        <v>0</v>
      </c>
      <c r="N203" s="44"/>
    </row>
    <row r="204" customHeight="1" spans="1:14">
      <c r="A204" s="38">
        <v>893</v>
      </c>
      <c r="B204" s="39" t="s">
        <v>1023</v>
      </c>
      <c r="C204" s="39" t="s">
        <v>691</v>
      </c>
      <c r="D204" s="39" t="s">
        <v>649</v>
      </c>
      <c r="E204" s="39" t="s">
        <v>657</v>
      </c>
      <c r="F204" s="39" t="s">
        <v>1024</v>
      </c>
      <c r="G204" s="39" t="s">
        <v>656</v>
      </c>
      <c r="H204" s="39" t="s">
        <v>722</v>
      </c>
      <c r="I204" s="39" t="s">
        <v>688</v>
      </c>
      <c r="J204" s="39" t="s">
        <v>678</v>
      </c>
      <c r="K204" s="39" t="s">
        <v>679</v>
      </c>
      <c r="L204" s="39" t="s">
        <v>715</v>
      </c>
      <c r="M204" s="39">
        <v>0</v>
      </c>
      <c r="N204" s="43"/>
    </row>
    <row r="205" customHeight="1" spans="1:14">
      <c r="A205" s="40">
        <v>894</v>
      </c>
      <c r="B205" s="41" t="s">
        <v>864</v>
      </c>
      <c r="C205" s="41" t="s">
        <v>691</v>
      </c>
      <c r="D205" s="41" t="s">
        <v>642</v>
      </c>
      <c r="E205" s="41" t="s">
        <v>658</v>
      </c>
      <c r="F205" s="41" t="s">
        <v>1025</v>
      </c>
      <c r="G205" s="41" t="s">
        <v>655</v>
      </c>
      <c r="H205" s="41" t="s">
        <v>722</v>
      </c>
      <c r="I205" s="41" t="s">
        <v>677</v>
      </c>
      <c r="J205" s="41" t="s">
        <v>709</v>
      </c>
      <c r="K205" s="41" t="s">
        <v>679</v>
      </c>
      <c r="L205" s="41" t="s">
        <v>743</v>
      </c>
      <c r="M205" s="41">
        <v>0</v>
      </c>
      <c r="N205" s="44"/>
    </row>
    <row r="206" customHeight="1" spans="1:14">
      <c r="A206" s="38">
        <v>895</v>
      </c>
      <c r="B206" s="39" t="s">
        <v>964</v>
      </c>
      <c r="C206" s="39" t="s">
        <v>691</v>
      </c>
      <c r="D206" s="39" t="s">
        <v>640</v>
      </c>
      <c r="E206" s="39" t="s">
        <v>657</v>
      </c>
      <c r="F206" s="39" t="s">
        <v>1026</v>
      </c>
      <c r="G206" s="39" t="s">
        <v>655</v>
      </c>
      <c r="H206" s="39" t="s">
        <v>727</v>
      </c>
      <c r="I206" s="39" t="s">
        <v>700</v>
      </c>
      <c r="J206" s="39" t="s">
        <v>709</v>
      </c>
      <c r="K206" s="39" t="s">
        <v>710</v>
      </c>
      <c r="L206" s="39" t="s">
        <v>743</v>
      </c>
      <c r="M206" s="39">
        <v>0</v>
      </c>
      <c r="N206" s="43"/>
    </row>
    <row r="207" customHeight="1" spans="1:14">
      <c r="A207" s="40">
        <v>896</v>
      </c>
      <c r="B207" s="41" t="s">
        <v>1027</v>
      </c>
      <c r="C207" s="41" t="s">
        <v>691</v>
      </c>
      <c r="D207" s="41" t="s">
        <v>638</v>
      </c>
      <c r="E207" s="41" t="s">
        <v>657</v>
      </c>
      <c r="F207" s="41" t="s">
        <v>1028</v>
      </c>
      <c r="G207" s="41" t="s">
        <v>655</v>
      </c>
      <c r="H207" s="41" t="s">
        <v>718</v>
      </c>
      <c r="I207" s="41" t="s">
        <v>677</v>
      </c>
      <c r="J207" s="41" t="s">
        <v>709</v>
      </c>
      <c r="K207" s="41" t="s">
        <v>701</v>
      </c>
      <c r="L207" s="41" t="s">
        <v>719</v>
      </c>
      <c r="M207" s="41">
        <v>0</v>
      </c>
      <c r="N207" s="44"/>
    </row>
    <row r="208" customHeight="1" spans="1:14">
      <c r="A208" s="38">
        <v>897</v>
      </c>
      <c r="B208" s="39" t="s">
        <v>1029</v>
      </c>
      <c r="C208" s="39" t="s">
        <v>691</v>
      </c>
      <c r="D208" s="39" t="s">
        <v>647</v>
      </c>
      <c r="E208" s="39" t="s">
        <v>658</v>
      </c>
      <c r="F208" s="39" t="s">
        <v>1030</v>
      </c>
      <c r="G208" s="39" t="s">
        <v>654</v>
      </c>
      <c r="H208" s="39" t="s">
        <v>676</v>
      </c>
      <c r="I208" s="39" t="s">
        <v>708</v>
      </c>
      <c r="J208" s="39" t="s">
        <v>678</v>
      </c>
      <c r="K208" s="39" t="s">
        <v>710</v>
      </c>
      <c r="L208" s="39" t="s">
        <v>695</v>
      </c>
      <c r="M208" s="39">
        <v>0.6</v>
      </c>
      <c r="N208" s="43"/>
    </row>
    <row r="209" customHeight="1" spans="1:14">
      <c r="A209" s="40">
        <v>898</v>
      </c>
      <c r="B209" s="41" t="s">
        <v>768</v>
      </c>
      <c r="C209" s="41" t="s">
        <v>674</v>
      </c>
      <c r="D209" s="41" t="s">
        <v>647</v>
      </c>
      <c r="E209" s="41" t="s">
        <v>657</v>
      </c>
      <c r="F209" s="41" t="s">
        <v>1031</v>
      </c>
      <c r="G209" s="41" t="s">
        <v>655</v>
      </c>
      <c r="H209" s="41" t="s">
        <v>707</v>
      </c>
      <c r="I209" s="41" t="s">
        <v>700</v>
      </c>
      <c r="J209" s="41" t="s">
        <v>709</v>
      </c>
      <c r="K209" s="41" t="s">
        <v>679</v>
      </c>
      <c r="L209" s="41" t="s">
        <v>715</v>
      </c>
      <c r="M209" s="41">
        <v>0</v>
      </c>
      <c r="N209" s="44"/>
    </row>
    <row r="210" customHeight="1" spans="1:14">
      <c r="A210" s="38">
        <v>899</v>
      </c>
      <c r="B210" s="39" t="s">
        <v>1032</v>
      </c>
      <c r="C210" s="39" t="s">
        <v>691</v>
      </c>
      <c r="D210" s="39" t="s">
        <v>645</v>
      </c>
      <c r="E210" s="39" t="s">
        <v>658</v>
      </c>
      <c r="F210" s="39" t="s">
        <v>1033</v>
      </c>
      <c r="G210" s="39" t="s">
        <v>656</v>
      </c>
      <c r="H210" s="39" t="s">
        <v>676</v>
      </c>
      <c r="I210" s="39" t="s">
        <v>688</v>
      </c>
      <c r="J210" s="39" t="s">
        <v>678</v>
      </c>
      <c r="K210" s="39" t="s">
        <v>679</v>
      </c>
      <c r="L210" s="39" t="s">
        <v>684</v>
      </c>
      <c r="M210" s="39">
        <v>0.85</v>
      </c>
      <c r="N210" s="43"/>
    </row>
    <row r="211" customHeight="1" spans="1:14">
      <c r="A211" s="40">
        <v>900</v>
      </c>
      <c r="B211" s="41" t="s">
        <v>1034</v>
      </c>
      <c r="C211" s="41" t="s">
        <v>674</v>
      </c>
      <c r="D211" s="41" t="s">
        <v>647</v>
      </c>
      <c r="E211" s="41" t="s">
        <v>658</v>
      </c>
      <c r="F211" s="41" t="s">
        <v>1035</v>
      </c>
      <c r="G211" s="41" t="s">
        <v>652</v>
      </c>
      <c r="H211" s="41" t="s">
        <v>727</v>
      </c>
      <c r="I211" s="41" t="s">
        <v>677</v>
      </c>
      <c r="J211" s="41" t="s">
        <v>678</v>
      </c>
      <c r="K211" s="41" t="s">
        <v>689</v>
      </c>
      <c r="L211" s="41" t="s">
        <v>719</v>
      </c>
      <c r="M211" s="41">
        <v>0</v>
      </c>
      <c r="N211" s="44"/>
    </row>
    <row r="212" customHeight="1" spans="1:14">
      <c r="A212" s="38">
        <v>901</v>
      </c>
      <c r="B212" s="39" t="s">
        <v>1036</v>
      </c>
      <c r="C212" s="39" t="s">
        <v>691</v>
      </c>
      <c r="D212" s="39" t="s">
        <v>647</v>
      </c>
      <c r="E212" s="39" t="s">
        <v>657</v>
      </c>
      <c r="F212" s="39" t="s">
        <v>1037</v>
      </c>
      <c r="G212" s="39" t="s">
        <v>654</v>
      </c>
      <c r="H212" s="39" t="s">
        <v>687</v>
      </c>
      <c r="I212" s="39" t="s">
        <v>677</v>
      </c>
      <c r="J212" s="39" t="s">
        <v>678</v>
      </c>
      <c r="K212" s="39" t="s">
        <v>679</v>
      </c>
      <c r="L212" s="39" t="s">
        <v>684</v>
      </c>
      <c r="M212" s="39">
        <v>0.85</v>
      </c>
      <c r="N212" s="43"/>
    </row>
    <row r="213" customHeight="1" spans="1:14">
      <c r="A213" s="40">
        <v>902</v>
      </c>
      <c r="B213" s="41" t="s">
        <v>1038</v>
      </c>
      <c r="C213" s="41" t="s">
        <v>674</v>
      </c>
      <c r="D213" s="41" t="s">
        <v>647</v>
      </c>
      <c r="E213" s="41" t="s">
        <v>658</v>
      </c>
      <c r="F213" s="41" t="s">
        <v>1039</v>
      </c>
      <c r="G213" s="41" t="s">
        <v>656</v>
      </c>
      <c r="H213" s="41" t="s">
        <v>687</v>
      </c>
      <c r="I213" s="41" t="s">
        <v>708</v>
      </c>
      <c r="J213" s="41" t="s">
        <v>709</v>
      </c>
      <c r="K213" s="41" t="s">
        <v>701</v>
      </c>
      <c r="L213" s="41" t="s">
        <v>715</v>
      </c>
      <c r="M213" s="41">
        <v>0</v>
      </c>
      <c r="N213" s="44"/>
    </row>
    <row r="214" customHeight="1" spans="1:14">
      <c r="A214" s="38">
        <v>903</v>
      </c>
      <c r="B214" s="39" t="s">
        <v>1040</v>
      </c>
      <c r="C214" s="39" t="s">
        <v>691</v>
      </c>
      <c r="D214" s="39" t="s">
        <v>647</v>
      </c>
      <c r="E214" s="39" t="s">
        <v>651</v>
      </c>
      <c r="F214" s="39" t="s">
        <v>1041</v>
      </c>
      <c r="G214" s="39" t="s">
        <v>656</v>
      </c>
      <c r="H214" s="39" t="s">
        <v>683</v>
      </c>
      <c r="I214" s="39" t="s">
        <v>688</v>
      </c>
      <c r="J214" s="39" t="s">
        <v>678</v>
      </c>
      <c r="K214" s="39" t="s">
        <v>694</v>
      </c>
      <c r="L214" s="39" t="s">
        <v>743</v>
      </c>
      <c r="M214" s="39">
        <v>0</v>
      </c>
      <c r="N214" s="43"/>
    </row>
    <row r="215" customHeight="1" spans="1:14">
      <c r="A215" s="40">
        <v>904</v>
      </c>
      <c r="B215" s="41" t="s">
        <v>1042</v>
      </c>
      <c r="C215" s="41" t="s">
        <v>691</v>
      </c>
      <c r="D215" s="41" t="s">
        <v>641</v>
      </c>
      <c r="E215" s="41" t="s">
        <v>658</v>
      </c>
      <c r="F215" s="41" t="s">
        <v>1043</v>
      </c>
      <c r="G215" s="41" t="s">
        <v>656</v>
      </c>
      <c r="H215" s="41" t="s">
        <v>722</v>
      </c>
      <c r="I215" s="41" t="s">
        <v>693</v>
      </c>
      <c r="J215" s="41" t="s">
        <v>678</v>
      </c>
      <c r="K215" s="41" t="s">
        <v>689</v>
      </c>
      <c r="L215" s="41" t="s">
        <v>719</v>
      </c>
      <c r="M215" s="41">
        <v>0</v>
      </c>
      <c r="N215" s="44"/>
    </row>
    <row r="216" customHeight="1" spans="1:14">
      <c r="A216" s="38">
        <v>905</v>
      </c>
      <c r="B216" s="39" t="s">
        <v>1044</v>
      </c>
      <c r="C216" s="39" t="s">
        <v>691</v>
      </c>
      <c r="D216" s="39" t="s">
        <v>639</v>
      </c>
      <c r="E216" s="39" t="s">
        <v>658</v>
      </c>
      <c r="F216" s="39" t="s">
        <v>1045</v>
      </c>
      <c r="G216" s="39" t="s">
        <v>656</v>
      </c>
      <c r="H216" s="39" t="s">
        <v>683</v>
      </c>
      <c r="I216" s="39" t="s">
        <v>677</v>
      </c>
      <c r="J216" s="39" t="s">
        <v>678</v>
      </c>
      <c r="K216" s="39" t="s">
        <v>689</v>
      </c>
      <c r="L216" s="39" t="s">
        <v>684</v>
      </c>
      <c r="M216" s="39">
        <v>0.85</v>
      </c>
      <c r="N216" s="43"/>
    </row>
    <row r="217" customHeight="1" spans="1:14">
      <c r="A217" s="40">
        <v>906</v>
      </c>
      <c r="B217" s="41" t="s">
        <v>1046</v>
      </c>
      <c r="C217" s="41" t="s">
        <v>691</v>
      </c>
      <c r="D217" s="41" t="s">
        <v>638</v>
      </c>
      <c r="E217" s="41" t="s">
        <v>651</v>
      </c>
      <c r="F217" s="41" t="s">
        <v>1047</v>
      </c>
      <c r="G217" s="41" t="s">
        <v>655</v>
      </c>
      <c r="H217" s="41" t="s">
        <v>718</v>
      </c>
      <c r="I217" s="41" t="s">
        <v>688</v>
      </c>
      <c r="J217" s="41" t="s">
        <v>709</v>
      </c>
      <c r="K217" s="41" t="s">
        <v>694</v>
      </c>
      <c r="L217" s="41" t="s">
        <v>743</v>
      </c>
      <c r="M217" s="41">
        <v>0</v>
      </c>
      <c r="N217" s="44"/>
    </row>
    <row r="218" customHeight="1" spans="1:14">
      <c r="A218" s="38">
        <v>907</v>
      </c>
      <c r="B218" s="39" t="s">
        <v>1048</v>
      </c>
      <c r="C218" s="39" t="s">
        <v>691</v>
      </c>
      <c r="D218" s="39" t="s">
        <v>639</v>
      </c>
      <c r="E218" s="39" t="s">
        <v>658</v>
      </c>
      <c r="F218" s="39" t="s">
        <v>1049</v>
      </c>
      <c r="G218" s="39" t="s">
        <v>654</v>
      </c>
      <c r="H218" s="39" t="s">
        <v>676</v>
      </c>
      <c r="I218" s="39" t="s">
        <v>700</v>
      </c>
      <c r="J218" s="39" t="s">
        <v>678</v>
      </c>
      <c r="K218" s="39" t="s">
        <v>710</v>
      </c>
      <c r="L218" s="39" t="s">
        <v>695</v>
      </c>
      <c r="M218" s="39">
        <v>0.6</v>
      </c>
      <c r="N218" s="43"/>
    </row>
    <row r="219" customHeight="1" spans="1:14">
      <c r="A219" s="40">
        <v>908</v>
      </c>
      <c r="B219" s="41" t="s">
        <v>942</v>
      </c>
      <c r="C219" s="41" t="s">
        <v>674</v>
      </c>
      <c r="D219" s="41" t="s">
        <v>639</v>
      </c>
      <c r="E219" s="41" t="s">
        <v>658</v>
      </c>
      <c r="F219" s="41" t="s">
        <v>1050</v>
      </c>
      <c r="G219" s="41" t="s">
        <v>655</v>
      </c>
      <c r="H219" s="41" t="s">
        <v>722</v>
      </c>
      <c r="I219" s="41" t="s">
        <v>700</v>
      </c>
      <c r="J219" s="41" t="s">
        <v>709</v>
      </c>
      <c r="K219" s="41" t="s">
        <v>679</v>
      </c>
      <c r="L219" s="41" t="s">
        <v>680</v>
      </c>
      <c r="M219" s="41">
        <v>0.9</v>
      </c>
      <c r="N219" s="44"/>
    </row>
    <row r="220" customHeight="1" spans="1:14">
      <c r="A220" s="38">
        <v>909</v>
      </c>
      <c r="B220" s="39" t="s">
        <v>1051</v>
      </c>
      <c r="C220" s="39" t="s">
        <v>691</v>
      </c>
      <c r="D220" s="39" t="s">
        <v>645</v>
      </c>
      <c r="E220" s="39" t="s">
        <v>657</v>
      </c>
      <c r="F220" s="39" t="s">
        <v>1052</v>
      </c>
      <c r="G220" s="39" t="s">
        <v>652</v>
      </c>
      <c r="H220" s="39" t="s">
        <v>727</v>
      </c>
      <c r="I220" s="39" t="s">
        <v>700</v>
      </c>
      <c r="J220" s="39" t="s">
        <v>678</v>
      </c>
      <c r="K220" s="39" t="s">
        <v>710</v>
      </c>
      <c r="L220" s="39" t="s">
        <v>719</v>
      </c>
      <c r="M220" s="39">
        <v>0</v>
      </c>
      <c r="N220" s="43"/>
    </row>
    <row r="221" customHeight="1" spans="1:14">
      <c r="A221" s="40">
        <v>910</v>
      </c>
      <c r="B221" s="41" t="s">
        <v>728</v>
      </c>
      <c r="C221" s="41" t="s">
        <v>691</v>
      </c>
      <c r="D221" s="41" t="s">
        <v>641</v>
      </c>
      <c r="E221" s="41" t="s">
        <v>657</v>
      </c>
      <c r="F221" s="41" t="s">
        <v>1053</v>
      </c>
      <c r="G221" s="41" t="s">
        <v>654</v>
      </c>
      <c r="H221" s="41" t="s">
        <v>707</v>
      </c>
      <c r="I221" s="41" t="s">
        <v>693</v>
      </c>
      <c r="J221" s="41" t="s">
        <v>678</v>
      </c>
      <c r="K221" s="41" t="s">
        <v>679</v>
      </c>
      <c r="L221" s="41" t="s">
        <v>680</v>
      </c>
      <c r="M221" s="41">
        <v>0.9</v>
      </c>
      <c r="N221" s="44"/>
    </row>
    <row r="222" customHeight="1" spans="1:14">
      <c r="A222" s="38">
        <v>911</v>
      </c>
      <c r="B222" s="39" t="s">
        <v>836</v>
      </c>
      <c r="C222" s="39" t="s">
        <v>691</v>
      </c>
      <c r="D222" s="39" t="s">
        <v>647</v>
      </c>
      <c r="E222" s="39" t="s">
        <v>657</v>
      </c>
      <c r="F222" s="39" t="s">
        <v>1054</v>
      </c>
      <c r="G222" s="39" t="s">
        <v>654</v>
      </c>
      <c r="H222" s="39" t="s">
        <v>683</v>
      </c>
      <c r="I222" s="39" t="s">
        <v>677</v>
      </c>
      <c r="J222" s="39" t="s">
        <v>678</v>
      </c>
      <c r="K222" s="39" t="s">
        <v>710</v>
      </c>
      <c r="L222" s="39" t="s">
        <v>719</v>
      </c>
      <c r="M222" s="39">
        <v>0</v>
      </c>
      <c r="N222" s="43"/>
    </row>
    <row r="223" customHeight="1" spans="1:14">
      <c r="A223" s="40">
        <v>912</v>
      </c>
      <c r="B223" s="41" t="s">
        <v>1055</v>
      </c>
      <c r="C223" s="41" t="s">
        <v>691</v>
      </c>
      <c r="D223" s="41" t="s">
        <v>644</v>
      </c>
      <c r="E223" s="41" t="s">
        <v>658</v>
      </c>
      <c r="F223" s="41" t="s">
        <v>1056</v>
      </c>
      <c r="G223" s="41" t="s">
        <v>654</v>
      </c>
      <c r="H223" s="41" t="s">
        <v>707</v>
      </c>
      <c r="I223" s="41" t="s">
        <v>677</v>
      </c>
      <c r="J223" s="41" t="s">
        <v>678</v>
      </c>
      <c r="K223" s="41" t="s">
        <v>701</v>
      </c>
      <c r="L223" s="41" t="s">
        <v>743</v>
      </c>
      <c r="M223" s="41">
        <v>0</v>
      </c>
      <c r="N223" s="44"/>
    </row>
    <row r="224" customHeight="1" spans="1:14">
      <c r="A224" s="38">
        <v>913</v>
      </c>
      <c r="B224" s="39" t="s">
        <v>1057</v>
      </c>
      <c r="C224" s="39" t="s">
        <v>691</v>
      </c>
      <c r="D224" s="39" t="s">
        <v>644</v>
      </c>
      <c r="E224" s="39" t="s">
        <v>658</v>
      </c>
      <c r="F224" s="39" t="s">
        <v>1058</v>
      </c>
      <c r="G224" s="39" t="s">
        <v>652</v>
      </c>
      <c r="H224" s="39" t="s">
        <v>687</v>
      </c>
      <c r="I224" s="39" t="s">
        <v>677</v>
      </c>
      <c r="J224" s="39" t="s">
        <v>709</v>
      </c>
      <c r="K224" s="39" t="s">
        <v>701</v>
      </c>
      <c r="L224" s="39" t="s">
        <v>680</v>
      </c>
      <c r="M224" s="39">
        <v>0.9</v>
      </c>
      <c r="N224" s="43"/>
    </row>
    <row r="225" customHeight="1" spans="1:14">
      <c r="A225" s="40">
        <v>914</v>
      </c>
      <c r="B225" s="41" t="s">
        <v>1059</v>
      </c>
      <c r="C225" s="41" t="s">
        <v>691</v>
      </c>
      <c r="D225" s="41" t="s">
        <v>646</v>
      </c>
      <c r="E225" s="41" t="s">
        <v>657</v>
      </c>
      <c r="F225" s="41" t="s">
        <v>1060</v>
      </c>
      <c r="G225" s="41" t="s">
        <v>652</v>
      </c>
      <c r="H225" s="41" t="s">
        <v>722</v>
      </c>
      <c r="I225" s="41" t="s">
        <v>700</v>
      </c>
      <c r="J225" s="41" t="s">
        <v>678</v>
      </c>
      <c r="K225" s="41" t="s">
        <v>689</v>
      </c>
      <c r="L225" s="41" t="s">
        <v>719</v>
      </c>
      <c r="M225" s="41">
        <v>0</v>
      </c>
      <c r="N225" s="44"/>
    </row>
    <row r="226" customHeight="1" spans="1:14">
      <c r="A226" s="38">
        <v>915</v>
      </c>
      <c r="B226" s="39" t="s">
        <v>1061</v>
      </c>
      <c r="C226" s="39" t="s">
        <v>691</v>
      </c>
      <c r="D226" s="39" t="s">
        <v>638</v>
      </c>
      <c r="E226" s="39" t="s">
        <v>651</v>
      </c>
      <c r="F226" s="39" t="s">
        <v>1062</v>
      </c>
      <c r="G226" s="39" t="s">
        <v>653</v>
      </c>
      <c r="H226" s="39" t="s">
        <v>722</v>
      </c>
      <c r="I226" s="39" t="s">
        <v>677</v>
      </c>
      <c r="J226" s="39" t="s">
        <v>678</v>
      </c>
      <c r="K226" s="39" t="s">
        <v>710</v>
      </c>
      <c r="L226" s="39" t="s">
        <v>695</v>
      </c>
      <c r="M226" s="39">
        <v>0.6</v>
      </c>
      <c r="N226" s="43"/>
    </row>
    <row r="227" customHeight="1" spans="1:14">
      <c r="A227" s="40">
        <v>916</v>
      </c>
      <c r="B227" s="41" t="s">
        <v>1036</v>
      </c>
      <c r="C227" s="41" t="s">
        <v>691</v>
      </c>
      <c r="D227" s="41" t="s">
        <v>647</v>
      </c>
      <c r="E227" s="41" t="s">
        <v>657</v>
      </c>
      <c r="F227" s="41" t="s">
        <v>1063</v>
      </c>
      <c r="G227" s="41" t="s">
        <v>652</v>
      </c>
      <c r="H227" s="41" t="s">
        <v>727</v>
      </c>
      <c r="I227" s="41" t="s">
        <v>693</v>
      </c>
      <c r="J227" s="41" t="s">
        <v>678</v>
      </c>
      <c r="K227" s="41" t="s">
        <v>701</v>
      </c>
      <c r="L227" s="41" t="s">
        <v>719</v>
      </c>
      <c r="M227" s="41">
        <v>0</v>
      </c>
      <c r="N227" s="44"/>
    </row>
    <row r="228" customHeight="1" spans="1:14">
      <c r="A228" s="38">
        <v>917</v>
      </c>
      <c r="B228" s="39" t="s">
        <v>851</v>
      </c>
      <c r="C228" s="39" t="s">
        <v>691</v>
      </c>
      <c r="D228" s="39" t="s">
        <v>642</v>
      </c>
      <c r="E228" s="39" t="s">
        <v>658</v>
      </c>
      <c r="F228" s="39" t="s">
        <v>1064</v>
      </c>
      <c r="G228" s="39" t="s">
        <v>652</v>
      </c>
      <c r="H228" s="39" t="s">
        <v>727</v>
      </c>
      <c r="I228" s="39" t="s">
        <v>708</v>
      </c>
      <c r="J228" s="39" t="s">
        <v>709</v>
      </c>
      <c r="K228" s="39" t="s">
        <v>694</v>
      </c>
      <c r="L228" s="39" t="s">
        <v>743</v>
      </c>
      <c r="M228" s="39">
        <v>0</v>
      </c>
      <c r="N228" s="43"/>
    </row>
    <row r="229" customHeight="1" spans="1:14">
      <c r="A229" s="40">
        <v>918</v>
      </c>
      <c r="B229" s="41" t="s">
        <v>956</v>
      </c>
      <c r="C229" s="41" t="s">
        <v>691</v>
      </c>
      <c r="D229" s="41" t="s">
        <v>645</v>
      </c>
      <c r="E229" s="41" t="s">
        <v>658</v>
      </c>
      <c r="F229" s="41" t="s">
        <v>1065</v>
      </c>
      <c r="G229" s="41" t="s">
        <v>654</v>
      </c>
      <c r="H229" s="41" t="s">
        <v>722</v>
      </c>
      <c r="I229" s="41" t="s">
        <v>708</v>
      </c>
      <c r="J229" s="41" t="s">
        <v>678</v>
      </c>
      <c r="K229" s="41" t="s">
        <v>679</v>
      </c>
      <c r="L229" s="41" t="s">
        <v>684</v>
      </c>
      <c r="M229" s="41">
        <v>0.85</v>
      </c>
      <c r="N229" s="44"/>
    </row>
    <row r="230" customHeight="1" spans="1:14">
      <c r="A230" s="38">
        <v>919</v>
      </c>
      <c r="B230" s="39" t="s">
        <v>1066</v>
      </c>
      <c r="C230" s="39" t="s">
        <v>691</v>
      </c>
      <c r="D230" s="39" t="s">
        <v>646</v>
      </c>
      <c r="E230" s="39" t="s">
        <v>658</v>
      </c>
      <c r="F230" s="39" t="s">
        <v>1067</v>
      </c>
      <c r="G230" s="39" t="s">
        <v>655</v>
      </c>
      <c r="H230" s="39" t="s">
        <v>683</v>
      </c>
      <c r="I230" s="39" t="s">
        <v>693</v>
      </c>
      <c r="J230" s="39" t="s">
        <v>678</v>
      </c>
      <c r="K230" s="39" t="s">
        <v>701</v>
      </c>
      <c r="L230" s="39" t="s">
        <v>695</v>
      </c>
      <c r="M230" s="39">
        <v>0.6</v>
      </c>
      <c r="N230" s="43"/>
    </row>
    <row r="231" customHeight="1" spans="1:14">
      <c r="A231" s="40">
        <v>920</v>
      </c>
      <c r="B231" s="41" t="s">
        <v>874</v>
      </c>
      <c r="C231" s="41" t="s">
        <v>691</v>
      </c>
      <c r="D231" s="41" t="s">
        <v>642</v>
      </c>
      <c r="E231" s="41" t="s">
        <v>657</v>
      </c>
      <c r="F231" s="41" t="s">
        <v>1068</v>
      </c>
      <c r="G231" s="41" t="s">
        <v>655</v>
      </c>
      <c r="H231" s="41" t="s">
        <v>683</v>
      </c>
      <c r="I231" s="41" t="s">
        <v>708</v>
      </c>
      <c r="J231" s="41" t="s">
        <v>709</v>
      </c>
      <c r="K231" s="41" t="s">
        <v>689</v>
      </c>
      <c r="L231" s="41" t="s">
        <v>715</v>
      </c>
      <c r="M231" s="41">
        <v>0</v>
      </c>
      <c r="N231" s="44"/>
    </row>
    <row r="232" customHeight="1" spans="1:14">
      <c r="A232" s="38">
        <v>921</v>
      </c>
      <c r="B232" s="39" t="s">
        <v>1069</v>
      </c>
      <c r="C232" s="39" t="s">
        <v>674</v>
      </c>
      <c r="D232" s="39" t="s">
        <v>640</v>
      </c>
      <c r="E232" s="39" t="s">
        <v>658</v>
      </c>
      <c r="F232" s="39" t="s">
        <v>1070</v>
      </c>
      <c r="G232" s="39" t="s">
        <v>655</v>
      </c>
      <c r="H232" s="39" t="s">
        <v>722</v>
      </c>
      <c r="I232" s="39" t="s">
        <v>693</v>
      </c>
      <c r="J232" s="39" t="s">
        <v>678</v>
      </c>
      <c r="K232" s="39" t="s">
        <v>679</v>
      </c>
      <c r="L232" s="39" t="s">
        <v>680</v>
      </c>
      <c r="M232" s="39">
        <v>0.9</v>
      </c>
      <c r="N232" s="43"/>
    </row>
    <row r="233" customHeight="1" spans="1:14">
      <c r="A233" s="40">
        <v>922</v>
      </c>
      <c r="B233" s="41" t="s">
        <v>1071</v>
      </c>
      <c r="C233" s="41" t="s">
        <v>691</v>
      </c>
      <c r="D233" s="41" t="s">
        <v>649</v>
      </c>
      <c r="E233" s="41" t="s">
        <v>657</v>
      </c>
      <c r="F233" s="41" t="s">
        <v>1072</v>
      </c>
      <c r="G233" s="41" t="s">
        <v>655</v>
      </c>
      <c r="H233" s="41" t="s">
        <v>727</v>
      </c>
      <c r="I233" s="41" t="s">
        <v>688</v>
      </c>
      <c r="J233" s="41" t="s">
        <v>678</v>
      </c>
      <c r="K233" s="41" t="s">
        <v>694</v>
      </c>
      <c r="L233" s="41" t="s">
        <v>719</v>
      </c>
      <c r="M233" s="41">
        <v>0</v>
      </c>
      <c r="N233" s="44"/>
    </row>
    <row r="234" customHeight="1" spans="1:14">
      <c r="A234" s="38">
        <v>923</v>
      </c>
      <c r="B234" s="39" t="s">
        <v>1073</v>
      </c>
      <c r="C234" s="39" t="s">
        <v>674</v>
      </c>
      <c r="D234" s="39" t="s">
        <v>647</v>
      </c>
      <c r="E234" s="39" t="s">
        <v>657</v>
      </c>
      <c r="F234" s="39" t="s">
        <v>1074</v>
      </c>
      <c r="G234" s="39" t="s">
        <v>653</v>
      </c>
      <c r="H234" s="39" t="s">
        <v>727</v>
      </c>
      <c r="I234" s="39" t="s">
        <v>693</v>
      </c>
      <c r="J234" s="39" t="s">
        <v>709</v>
      </c>
      <c r="K234" s="39" t="s">
        <v>679</v>
      </c>
      <c r="L234" s="39" t="s">
        <v>743</v>
      </c>
      <c r="M234" s="39">
        <v>0</v>
      </c>
      <c r="N234" s="43"/>
    </row>
    <row r="235" customHeight="1" spans="1:14">
      <c r="A235" s="40">
        <v>924</v>
      </c>
      <c r="B235" s="41" t="s">
        <v>1075</v>
      </c>
      <c r="C235" s="41" t="s">
        <v>691</v>
      </c>
      <c r="D235" s="41" t="s">
        <v>645</v>
      </c>
      <c r="E235" s="41" t="s">
        <v>651</v>
      </c>
      <c r="F235" s="41" t="s">
        <v>1076</v>
      </c>
      <c r="G235" s="41" t="s">
        <v>655</v>
      </c>
      <c r="H235" s="41" t="s">
        <v>707</v>
      </c>
      <c r="I235" s="41" t="s">
        <v>708</v>
      </c>
      <c r="J235" s="41" t="s">
        <v>709</v>
      </c>
      <c r="K235" s="41" t="s">
        <v>710</v>
      </c>
      <c r="L235" s="41" t="s">
        <v>715</v>
      </c>
      <c r="M235" s="41">
        <v>0</v>
      </c>
      <c r="N235" s="44"/>
    </row>
    <row r="236" customHeight="1" spans="1:14">
      <c r="A236" s="38">
        <v>925</v>
      </c>
      <c r="B236" s="39" t="s">
        <v>806</v>
      </c>
      <c r="C236" s="39" t="s">
        <v>674</v>
      </c>
      <c r="D236" s="39" t="s">
        <v>649</v>
      </c>
      <c r="E236" s="39" t="s">
        <v>651</v>
      </c>
      <c r="F236" s="39" t="s">
        <v>1077</v>
      </c>
      <c r="G236" s="39" t="s">
        <v>652</v>
      </c>
      <c r="H236" s="39" t="s">
        <v>683</v>
      </c>
      <c r="I236" s="39" t="s">
        <v>700</v>
      </c>
      <c r="J236" s="39" t="s">
        <v>678</v>
      </c>
      <c r="K236" s="39" t="s">
        <v>710</v>
      </c>
      <c r="L236" s="39" t="s">
        <v>680</v>
      </c>
      <c r="M236" s="39">
        <v>0.9</v>
      </c>
      <c r="N236" s="43"/>
    </row>
    <row r="237" customHeight="1" spans="1:14">
      <c r="A237" s="40">
        <v>926</v>
      </c>
      <c r="B237" s="41" t="s">
        <v>1078</v>
      </c>
      <c r="C237" s="41" t="s">
        <v>674</v>
      </c>
      <c r="D237" s="41" t="s">
        <v>639</v>
      </c>
      <c r="E237" s="41" t="s">
        <v>658</v>
      </c>
      <c r="F237" s="41" t="s">
        <v>1079</v>
      </c>
      <c r="G237" s="41" t="s">
        <v>656</v>
      </c>
      <c r="H237" s="41" t="s">
        <v>707</v>
      </c>
      <c r="I237" s="41" t="s">
        <v>693</v>
      </c>
      <c r="J237" s="41" t="s">
        <v>709</v>
      </c>
      <c r="K237" s="41" t="s">
        <v>679</v>
      </c>
      <c r="L237" s="41" t="s">
        <v>684</v>
      </c>
      <c r="M237" s="41">
        <v>0.85</v>
      </c>
      <c r="N237" s="44"/>
    </row>
    <row r="238" customHeight="1" spans="1:14">
      <c r="A238" s="38">
        <v>927</v>
      </c>
      <c r="B238" s="39" t="s">
        <v>1080</v>
      </c>
      <c r="C238" s="39" t="s">
        <v>674</v>
      </c>
      <c r="D238" s="39" t="s">
        <v>646</v>
      </c>
      <c r="E238" s="39" t="s">
        <v>657</v>
      </c>
      <c r="F238" s="39" t="s">
        <v>1081</v>
      </c>
      <c r="G238" s="39" t="s">
        <v>656</v>
      </c>
      <c r="H238" s="39" t="s">
        <v>707</v>
      </c>
      <c r="I238" s="39" t="s">
        <v>700</v>
      </c>
      <c r="J238" s="39" t="s">
        <v>709</v>
      </c>
      <c r="K238" s="39" t="s">
        <v>732</v>
      </c>
      <c r="L238" s="39" t="s">
        <v>743</v>
      </c>
      <c r="M238" s="39">
        <v>0</v>
      </c>
      <c r="N238" s="43"/>
    </row>
    <row r="239" customHeight="1" spans="1:14">
      <c r="A239" s="40">
        <v>928</v>
      </c>
      <c r="B239" s="41" t="s">
        <v>809</v>
      </c>
      <c r="C239" s="41" t="s">
        <v>691</v>
      </c>
      <c r="D239" s="41" t="s">
        <v>647</v>
      </c>
      <c r="E239" s="41" t="s">
        <v>658</v>
      </c>
      <c r="F239" s="41" t="s">
        <v>1082</v>
      </c>
      <c r="G239" s="41" t="s">
        <v>653</v>
      </c>
      <c r="H239" s="41" t="s">
        <v>727</v>
      </c>
      <c r="I239" s="41" t="s">
        <v>677</v>
      </c>
      <c r="J239" s="41" t="s">
        <v>678</v>
      </c>
      <c r="K239" s="41" t="s">
        <v>689</v>
      </c>
      <c r="L239" s="41" t="s">
        <v>695</v>
      </c>
      <c r="M239" s="41">
        <v>0.6</v>
      </c>
      <c r="N239" s="44"/>
    </row>
    <row r="240" customHeight="1" spans="1:14">
      <c r="A240" s="38">
        <v>929</v>
      </c>
      <c r="B240" s="39" t="s">
        <v>859</v>
      </c>
      <c r="C240" s="39" t="s">
        <v>691</v>
      </c>
      <c r="D240" s="39" t="s">
        <v>649</v>
      </c>
      <c r="E240" s="39" t="s">
        <v>657</v>
      </c>
      <c r="F240" s="39" t="s">
        <v>1083</v>
      </c>
      <c r="G240" s="39" t="s">
        <v>656</v>
      </c>
      <c r="H240" s="39" t="s">
        <v>687</v>
      </c>
      <c r="I240" s="39" t="s">
        <v>677</v>
      </c>
      <c r="J240" s="39" t="s">
        <v>709</v>
      </c>
      <c r="K240" s="39" t="s">
        <v>694</v>
      </c>
      <c r="L240" s="39" t="s">
        <v>719</v>
      </c>
      <c r="M240" s="39">
        <v>0</v>
      </c>
      <c r="N240" s="43"/>
    </row>
    <row r="241" customHeight="1" spans="1:14">
      <c r="A241" s="40">
        <v>930</v>
      </c>
      <c r="B241" s="41" t="s">
        <v>836</v>
      </c>
      <c r="C241" s="41" t="s">
        <v>691</v>
      </c>
      <c r="D241" s="41" t="s">
        <v>647</v>
      </c>
      <c r="E241" s="41" t="s">
        <v>657</v>
      </c>
      <c r="F241" s="41" t="s">
        <v>1084</v>
      </c>
      <c r="G241" s="41" t="s">
        <v>654</v>
      </c>
      <c r="H241" s="41" t="s">
        <v>718</v>
      </c>
      <c r="I241" s="41" t="s">
        <v>688</v>
      </c>
      <c r="J241" s="41" t="s">
        <v>678</v>
      </c>
      <c r="K241" s="41" t="s">
        <v>689</v>
      </c>
      <c r="L241" s="41" t="s">
        <v>684</v>
      </c>
      <c r="M241" s="41">
        <v>0.85</v>
      </c>
      <c r="N241" s="44"/>
    </row>
    <row r="242" customHeight="1" spans="1:14">
      <c r="A242" s="38">
        <v>931</v>
      </c>
      <c r="B242" s="39" t="s">
        <v>1020</v>
      </c>
      <c r="C242" s="39" t="s">
        <v>674</v>
      </c>
      <c r="D242" s="39" t="s">
        <v>640</v>
      </c>
      <c r="E242" s="39" t="s">
        <v>658</v>
      </c>
      <c r="F242" s="39" t="s">
        <v>1085</v>
      </c>
      <c r="G242" s="39" t="s">
        <v>656</v>
      </c>
      <c r="H242" s="39" t="s">
        <v>727</v>
      </c>
      <c r="I242" s="39" t="s">
        <v>677</v>
      </c>
      <c r="J242" s="39" t="s">
        <v>678</v>
      </c>
      <c r="K242" s="39" t="s">
        <v>732</v>
      </c>
      <c r="L242" s="39" t="s">
        <v>684</v>
      </c>
      <c r="M242" s="39">
        <v>0.85</v>
      </c>
      <c r="N242" s="43"/>
    </row>
    <row r="243" customHeight="1" spans="1:14">
      <c r="A243" s="40">
        <v>932</v>
      </c>
      <c r="B243" s="41" t="s">
        <v>851</v>
      </c>
      <c r="C243" s="41" t="s">
        <v>691</v>
      </c>
      <c r="D243" s="41" t="s">
        <v>642</v>
      </c>
      <c r="E243" s="41" t="s">
        <v>658</v>
      </c>
      <c r="F243" s="41" t="s">
        <v>1086</v>
      </c>
      <c r="G243" s="41" t="s">
        <v>655</v>
      </c>
      <c r="H243" s="41" t="s">
        <v>707</v>
      </c>
      <c r="I243" s="41" t="s">
        <v>688</v>
      </c>
      <c r="J243" s="41" t="s">
        <v>678</v>
      </c>
      <c r="K243" s="41" t="s">
        <v>694</v>
      </c>
      <c r="L243" s="41" t="s">
        <v>684</v>
      </c>
      <c r="M243" s="41">
        <v>0.85</v>
      </c>
      <c r="N243" s="44"/>
    </row>
    <row r="244" customHeight="1" spans="1:14">
      <c r="A244" s="38">
        <v>933</v>
      </c>
      <c r="B244" s="39" t="s">
        <v>1087</v>
      </c>
      <c r="C244" s="39" t="s">
        <v>691</v>
      </c>
      <c r="D244" s="39" t="s">
        <v>641</v>
      </c>
      <c r="E244" s="39" t="s">
        <v>658</v>
      </c>
      <c r="F244" s="39" t="s">
        <v>1088</v>
      </c>
      <c r="G244" s="39" t="s">
        <v>654</v>
      </c>
      <c r="H244" s="39" t="s">
        <v>718</v>
      </c>
      <c r="I244" s="39" t="s">
        <v>708</v>
      </c>
      <c r="J244" s="39" t="s">
        <v>678</v>
      </c>
      <c r="K244" s="39" t="s">
        <v>701</v>
      </c>
      <c r="L244" s="39" t="s">
        <v>695</v>
      </c>
      <c r="M244" s="39">
        <v>0.6</v>
      </c>
      <c r="N244" s="43"/>
    </row>
    <row r="245" customHeight="1" spans="1:14">
      <c r="A245" s="40">
        <v>934</v>
      </c>
      <c r="B245" s="41" t="s">
        <v>1051</v>
      </c>
      <c r="C245" s="41" t="s">
        <v>691</v>
      </c>
      <c r="D245" s="41" t="s">
        <v>645</v>
      </c>
      <c r="E245" s="41" t="s">
        <v>657</v>
      </c>
      <c r="F245" s="41" t="s">
        <v>1089</v>
      </c>
      <c r="G245" s="41" t="s">
        <v>656</v>
      </c>
      <c r="H245" s="41" t="s">
        <v>722</v>
      </c>
      <c r="I245" s="41" t="s">
        <v>688</v>
      </c>
      <c r="J245" s="41" t="s">
        <v>709</v>
      </c>
      <c r="K245" s="41" t="s">
        <v>710</v>
      </c>
      <c r="L245" s="41" t="s">
        <v>695</v>
      </c>
      <c r="M245" s="41">
        <v>0.6</v>
      </c>
      <c r="N245" s="44"/>
    </row>
    <row r="246" customHeight="1" spans="1:14">
      <c r="A246" s="38">
        <v>935</v>
      </c>
      <c r="B246" s="39" t="s">
        <v>1090</v>
      </c>
      <c r="C246" s="39" t="s">
        <v>691</v>
      </c>
      <c r="D246" s="39" t="s">
        <v>649</v>
      </c>
      <c r="E246" s="39" t="s">
        <v>657</v>
      </c>
      <c r="F246" s="39" t="s">
        <v>1091</v>
      </c>
      <c r="G246" s="39" t="s">
        <v>652</v>
      </c>
      <c r="H246" s="39" t="s">
        <v>718</v>
      </c>
      <c r="I246" s="39" t="s">
        <v>688</v>
      </c>
      <c r="J246" s="39" t="s">
        <v>709</v>
      </c>
      <c r="K246" s="39" t="s">
        <v>689</v>
      </c>
      <c r="L246" s="39" t="s">
        <v>715</v>
      </c>
      <c r="M246" s="39">
        <v>0</v>
      </c>
      <c r="N246" s="43"/>
    </row>
    <row r="247" customHeight="1" spans="1:14">
      <c r="A247" s="40">
        <v>936</v>
      </c>
      <c r="B247" s="41" t="s">
        <v>1092</v>
      </c>
      <c r="C247" s="41" t="s">
        <v>691</v>
      </c>
      <c r="D247" s="41" t="s">
        <v>644</v>
      </c>
      <c r="E247" s="41" t="s">
        <v>658</v>
      </c>
      <c r="F247" s="41" t="s">
        <v>1093</v>
      </c>
      <c r="G247" s="41" t="s">
        <v>653</v>
      </c>
      <c r="H247" s="41" t="s">
        <v>687</v>
      </c>
      <c r="I247" s="41" t="s">
        <v>677</v>
      </c>
      <c r="J247" s="41" t="s">
        <v>678</v>
      </c>
      <c r="K247" s="41" t="s">
        <v>694</v>
      </c>
      <c r="L247" s="41" t="s">
        <v>719</v>
      </c>
      <c r="M247" s="41">
        <v>0</v>
      </c>
      <c r="N247" s="44"/>
    </row>
    <row r="248" customHeight="1" spans="1:14">
      <c r="A248" s="38">
        <v>937</v>
      </c>
      <c r="B248" s="39" t="s">
        <v>827</v>
      </c>
      <c r="C248" s="39" t="s">
        <v>674</v>
      </c>
      <c r="D248" s="39" t="s">
        <v>642</v>
      </c>
      <c r="E248" s="39" t="s">
        <v>658</v>
      </c>
      <c r="F248" s="39" t="s">
        <v>1094</v>
      </c>
      <c r="G248" s="39" t="s">
        <v>656</v>
      </c>
      <c r="H248" s="39" t="s">
        <v>687</v>
      </c>
      <c r="I248" s="39" t="s">
        <v>700</v>
      </c>
      <c r="J248" s="39" t="s">
        <v>709</v>
      </c>
      <c r="K248" s="39" t="s">
        <v>701</v>
      </c>
      <c r="L248" s="39" t="s">
        <v>719</v>
      </c>
      <c r="M248" s="39">
        <v>0</v>
      </c>
      <c r="N248" s="43"/>
    </row>
    <row r="249" customHeight="1" spans="1:14">
      <c r="A249" s="40">
        <v>938</v>
      </c>
      <c r="B249" s="41" t="s">
        <v>809</v>
      </c>
      <c r="C249" s="41" t="s">
        <v>691</v>
      </c>
      <c r="D249" s="41" t="s">
        <v>647</v>
      </c>
      <c r="E249" s="41" t="s">
        <v>658</v>
      </c>
      <c r="F249" s="41" t="s">
        <v>1095</v>
      </c>
      <c r="G249" s="41" t="s">
        <v>654</v>
      </c>
      <c r="H249" s="41" t="s">
        <v>683</v>
      </c>
      <c r="I249" s="41" t="s">
        <v>688</v>
      </c>
      <c r="J249" s="41" t="s">
        <v>678</v>
      </c>
      <c r="K249" s="41" t="s">
        <v>710</v>
      </c>
      <c r="L249" s="41" t="s">
        <v>680</v>
      </c>
      <c r="M249" s="41">
        <v>0.9</v>
      </c>
      <c r="N249" s="44"/>
    </row>
    <row r="250" customHeight="1" spans="1:14">
      <c r="A250" s="38">
        <v>939</v>
      </c>
      <c r="B250" s="39" t="s">
        <v>834</v>
      </c>
      <c r="C250" s="39" t="s">
        <v>691</v>
      </c>
      <c r="D250" s="39" t="s">
        <v>649</v>
      </c>
      <c r="E250" s="39" t="s">
        <v>657</v>
      </c>
      <c r="F250" s="39" t="s">
        <v>1096</v>
      </c>
      <c r="G250" s="39" t="s">
        <v>653</v>
      </c>
      <c r="H250" s="39" t="s">
        <v>722</v>
      </c>
      <c r="I250" s="39" t="s">
        <v>708</v>
      </c>
      <c r="J250" s="39" t="s">
        <v>678</v>
      </c>
      <c r="K250" s="39" t="s">
        <v>689</v>
      </c>
      <c r="L250" s="39" t="s">
        <v>684</v>
      </c>
      <c r="M250" s="39">
        <v>0.85</v>
      </c>
      <c r="N250" s="43"/>
    </row>
    <row r="251" customHeight="1" spans="1:14">
      <c r="A251" s="40">
        <v>940</v>
      </c>
      <c r="B251" s="41" t="s">
        <v>1097</v>
      </c>
      <c r="C251" s="41" t="s">
        <v>691</v>
      </c>
      <c r="D251" s="41" t="s">
        <v>641</v>
      </c>
      <c r="E251" s="41" t="s">
        <v>657</v>
      </c>
      <c r="F251" s="41" t="s">
        <v>1098</v>
      </c>
      <c r="G251" s="41" t="s">
        <v>653</v>
      </c>
      <c r="H251" s="41" t="s">
        <v>683</v>
      </c>
      <c r="I251" s="41" t="s">
        <v>677</v>
      </c>
      <c r="J251" s="41" t="s">
        <v>709</v>
      </c>
      <c r="K251" s="41" t="s">
        <v>701</v>
      </c>
      <c r="L251" s="41" t="s">
        <v>719</v>
      </c>
      <c r="M251" s="41">
        <v>0</v>
      </c>
      <c r="N251" s="44"/>
    </row>
    <row r="252" customHeight="1" spans="1:14">
      <c r="A252" s="38">
        <v>941</v>
      </c>
      <c r="B252" s="39" t="s">
        <v>1099</v>
      </c>
      <c r="C252" s="39" t="s">
        <v>674</v>
      </c>
      <c r="D252" s="39" t="s">
        <v>647</v>
      </c>
      <c r="E252" s="39" t="s">
        <v>657</v>
      </c>
      <c r="F252" s="39" t="s">
        <v>1100</v>
      </c>
      <c r="G252" s="39" t="s">
        <v>654</v>
      </c>
      <c r="H252" s="39" t="s">
        <v>718</v>
      </c>
      <c r="I252" s="39" t="s">
        <v>688</v>
      </c>
      <c r="J252" s="39" t="s">
        <v>678</v>
      </c>
      <c r="K252" s="39" t="s">
        <v>732</v>
      </c>
      <c r="L252" s="39" t="s">
        <v>680</v>
      </c>
      <c r="M252" s="39">
        <v>0.9</v>
      </c>
      <c r="N252" s="43"/>
    </row>
    <row r="253" customHeight="1" spans="1:14">
      <c r="A253" s="40">
        <v>942</v>
      </c>
      <c r="B253" s="41" t="s">
        <v>1034</v>
      </c>
      <c r="C253" s="41" t="s">
        <v>674</v>
      </c>
      <c r="D253" s="41" t="s">
        <v>647</v>
      </c>
      <c r="E253" s="41" t="s">
        <v>658</v>
      </c>
      <c r="F253" s="41" t="s">
        <v>1101</v>
      </c>
      <c r="G253" s="41" t="s">
        <v>654</v>
      </c>
      <c r="H253" s="41" t="s">
        <v>687</v>
      </c>
      <c r="I253" s="41" t="s">
        <v>708</v>
      </c>
      <c r="J253" s="41" t="s">
        <v>678</v>
      </c>
      <c r="K253" s="41" t="s">
        <v>694</v>
      </c>
      <c r="L253" s="41" t="s">
        <v>743</v>
      </c>
      <c r="M253" s="41">
        <v>0</v>
      </c>
      <c r="N253" s="44"/>
    </row>
    <row r="254" customHeight="1" spans="1:14">
      <c r="A254" s="38">
        <v>943</v>
      </c>
      <c r="B254" s="39" t="s">
        <v>832</v>
      </c>
      <c r="C254" s="39" t="s">
        <v>691</v>
      </c>
      <c r="D254" s="39" t="s">
        <v>649</v>
      </c>
      <c r="E254" s="39" t="s">
        <v>657</v>
      </c>
      <c r="F254" s="39" t="s">
        <v>1102</v>
      </c>
      <c r="G254" s="39" t="s">
        <v>655</v>
      </c>
      <c r="H254" s="39" t="s">
        <v>727</v>
      </c>
      <c r="I254" s="39" t="s">
        <v>677</v>
      </c>
      <c r="J254" s="39" t="s">
        <v>678</v>
      </c>
      <c r="K254" s="39" t="s">
        <v>732</v>
      </c>
      <c r="L254" s="39" t="s">
        <v>715</v>
      </c>
      <c r="M254" s="39">
        <v>0</v>
      </c>
      <c r="N254" s="43"/>
    </row>
    <row r="255" customHeight="1" spans="1:14">
      <c r="A255" s="40">
        <v>944</v>
      </c>
      <c r="B255" s="41" t="s">
        <v>973</v>
      </c>
      <c r="C255" s="41" t="s">
        <v>691</v>
      </c>
      <c r="D255" s="41" t="s">
        <v>638</v>
      </c>
      <c r="E255" s="41" t="s">
        <v>658</v>
      </c>
      <c r="F255" s="41" t="s">
        <v>1103</v>
      </c>
      <c r="G255" s="41" t="s">
        <v>654</v>
      </c>
      <c r="H255" s="41" t="s">
        <v>727</v>
      </c>
      <c r="I255" s="41" t="s">
        <v>700</v>
      </c>
      <c r="J255" s="41" t="s">
        <v>678</v>
      </c>
      <c r="K255" s="41" t="s">
        <v>679</v>
      </c>
      <c r="L255" s="41" t="s">
        <v>695</v>
      </c>
      <c r="M255" s="41">
        <v>0.6</v>
      </c>
      <c r="N255" s="44"/>
    </row>
    <row r="256" customHeight="1" spans="1:14">
      <c r="A256" s="38">
        <v>945</v>
      </c>
      <c r="B256" s="39" t="s">
        <v>1104</v>
      </c>
      <c r="C256" s="39" t="s">
        <v>691</v>
      </c>
      <c r="D256" s="39" t="s">
        <v>646</v>
      </c>
      <c r="E256" s="39" t="s">
        <v>658</v>
      </c>
      <c r="F256" s="39" t="s">
        <v>1105</v>
      </c>
      <c r="G256" s="39" t="s">
        <v>656</v>
      </c>
      <c r="H256" s="39" t="s">
        <v>707</v>
      </c>
      <c r="I256" s="39" t="s">
        <v>708</v>
      </c>
      <c r="J256" s="39" t="s">
        <v>678</v>
      </c>
      <c r="K256" s="39" t="s">
        <v>694</v>
      </c>
      <c r="L256" s="39" t="s">
        <v>719</v>
      </c>
      <c r="M256" s="39">
        <v>0</v>
      </c>
      <c r="N256" s="43"/>
    </row>
    <row r="257" customHeight="1" spans="1:14">
      <c r="A257" s="40">
        <v>946</v>
      </c>
      <c r="B257" s="41" t="s">
        <v>986</v>
      </c>
      <c r="C257" s="41" t="s">
        <v>691</v>
      </c>
      <c r="D257" s="41" t="s">
        <v>647</v>
      </c>
      <c r="E257" s="41" t="s">
        <v>658</v>
      </c>
      <c r="F257" s="41" t="s">
        <v>1106</v>
      </c>
      <c r="G257" s="41" t="s">
        <v>656</v>
      </c>
      <c r="H257" s="41" t="s">
        <v>687</v>
      </c>
      <c r="I257" s="41" t="s">
        <v>693</v>
      </c>
      <c r="J257" s="41" t="s">
        <v>709</v>
      </c>
      <c r="K257" s="41" t="s">
        <v>732</v>
      </c>
      <c r="L257" s="41" t="s">
        <v>715</v>
      </c>
      <c r="M257" s="41">
        <v>0</v>
      </c>
      <c r="N257" s="44"/>
    </row>
    <row r="258" customHeight="1" spans="1:14">
      <c r="A258" s="38">
        <v>947</v>
      </c>
      <c r="B258" s="39" t="s">
        <v>927</v>
      </c>
      <c r="C258" s="39" t="s">
        <v>691</v>
      </c>
      <c r="D258" s="39" t="s">
        <v>641</v>
      </c>
      <c r="E258" s="39" t="s">
        <v>657</v>
      </c>
      <c r="F258" s="39" t="s">
        <v>1107</v>
      </c>
      <c r="G258" s="39" t="s">
        <v>654</v>
      </c>
      <c r="H258" s="39" t="s">
        <v>687</v>
      </c>
      <c r="I258" s="39" t="s">
        <v>700</v>
      </c>
      <c r="J258" s="39" t="s">
        <v>678</v>
      </c>
      <c r="K258" s="39" t="s">
        <v>689</v>
      </c>
      <c r="L258" s="39" t="s">
        <v>743</v>
      </c>
      <c r="M258" s="39">
        <v>0</v>
      </c>
      <c r="N258" s="43"/>
    </row>
    <row r="259" customHeight="1" spans="1:14">
      <c r="A259" s="40">
        <v>948</v>
      </c>
      <c r="B259" s="41" t="s">
        <v>1108</v>
      </c>
      <c r="C259" s="41" t="s">
        <v>691</v>
      </c>
      <c r="D259" s="41" t="s">
        <v>645</v>
      </c>
      <c r="E259" s="41" t="s">
        <v>657</v>
      </c>
      <c r="F259" s="41" t="s">
        <v>1109</v>
      </c>
      <c r="G259" s="41" t="s">
        <v>656</v>
      </c>
      <c r="H259" s="41" t="s">
        <v>722</v>
      </c>
      <c r="I259" s="41" t="s">
        <v>700</v>
      </c>
      <c r="J259" s="41" t="s">
        <v>709</v>
      </c>
      <c r="K259" s="41" t="s">
        <v>694</v>
      </c>
      <c r="L259" s="41" t="s">
        <v>719</v>
      </c>
      <c r="M259" s="41">
        <v>0</v>
      </c>
      <c r="N259" s="44"/>
    </row>
    <row r="260" customHeight="1" spans="1:14">
      <c r="A260" s="38">
        <v>949</v>
      </c>
      <c r="B260" s="39" t="s">
        <v>1110</v>
      </c>
      <c r="C260" s="39" t="s">
        <v>691</v>
      </c>
      <c r="D260" s="39" t="s">
        <v>644</v>
      </c>
      <c r="E260" s="39" t="s">
        <v>658</v>
      </c>
      <c r="F260" s="39" t="s">
        <v>1111</v>
      </c>
      <c r="G260" s="39" t="s">
        <v>653</v>
      </c>
      <c r="H260" s="39" t="s">
        <v>687</v>
      </c>
      <c r="I260" s="39" t="s">
        <v>708</v>
      </c>
      <c r="J260" s="39" t="s">
        <v>678</v>
      </c>
      <c r="K260" s="39" t="s">
        <v>701</v>
      </c>
      <c r="L260" s="39" t="s">
        <v>743</v>
      </c>
      <c r="M260" s="39">
        <v>0</v>
      </c>
      <c r="N260" s="43"/>
    </row>
    <row r="261" customHeight="1" spans="1:14">
      <c r="A261" s="40">
        <v>950</v>
      </c>
      <c r="B261" s="41" t="s">
        <v>711</v>
      </c>
      <c r="C261" s="41" t="s">
        <v>674</v>
      </c>
      <c r="D261" s="41" t="s">
        <v>645</v>
      </c>
      <c r="E261" s="41" t="s">
        <v>658</v>
      </c>
      <c r="F261" s="41" t="s">
        <v>1112</v>
      </c>
      <c r="G261" s="41" t="s">
        <v>656</v>
      </c>
      <c r="H261" s="41" t="s">
        <v>718</v>
      </c>
      <c r="I261" s="41" t="s">
        <v>677</v>
      </c>
      <c r="J261" s="41" t="s">
        <v>678</v>
      </c>
      <c r="K261" s="41" t="s">
        <v>689</v>
      </c>
      <c r="L261" s="41" t="s">
        <v>684</v>
      </c>
      <c r="M261" s="41">
        <v>0.85</v>
      </c>
      <c r="N261" s="44"/>
    </row>
    <row r="262" customHeight="1" spans="1:14">
      <c r="A262" s="38">
        <v>951</v>
      </c>
      <c r="B262" s="39" t="s">
        <v>1113</v>
      </c>
      <c r="C262" s="39" t="s">
        <v>691</v>
      </c>
      <c r="D262" s="39" t="s">
        <v>644</v>
      </c>
      <c r="E262" s="39" t="s">
        <v>658</v>
      </c>
      <c r="F262" s="39" t="s">
        <v>1114</v>
      </c>
      <c r="G262" s="39" t="s">
        <v>654</v>
      </c>
      <c r="H262" s="39" t="s">
        <v>687</v>
      </c>
      <c r="I262" s="39" t="s">
        <v>688</v>
      </c>
      <c r="J262" s="39" t="s">
        <v>678</v>
      </c>
      <c r="K262" s="39" t="s">
        <v>710</v>
      </c>
      <c r="L262" s="39" t="s">
        <v>743</v>
      </c>
      <c r="M262" s="39">
        <v>0</v>
      </c>
      <c r="N262" s="43"/>
    </row>
    <row r="263" customHeight="1" spans="1:14">
      <c r="A263" s="40">
        <v>952</v>
      </c>
      <c r="B263" s="41" t="s">
        <v>1115</v>
      </c>
      <c r="C263" s="41" t="s">
        <v>691</v>
      </c>
      <c r="D263" s="41" t="s">
        <v>644</v>
      </c>
      <c r="E263" s="41" t="s">
        <v>657</v>
      </c>
      <c r="F263" s="41" t="s">
        <v>1116</v>
      </c>
      <c r="G263" s="41" t="s">
        <v>656</v>
      </c>
      <c r="H263" s="41" t="s">
        <v>727</v>
      </c>
      <c r="I263" s="41" t="s">
        <v>708</v>
      </c>
      <c r="J263" s="41" t="s">
        <v>709</v>
      </c>
      <c r="K263" s="41" t="s">
        <v>689</v>
      </c>
      <c r="L263" s="41" t="s">
        <v>743</v>
      </c>
      <c r="M263" s="41">
        <v>0</v>
      </c>
      <c r="N263" s="44"/>
    </row>
    <row r="264" customHeight="1" spans="1:14">
      <c r="A264" s="38">
        <v>953</v>
      </c>
      <c r="B264" s="39" t="s">
        <v>956</v>
      </c>
      <c r="C264" s="39" t="s">
        <v>691</v>
      </c>
      <c r="D264" s="39" t="s">
        <v>645</v>
      </c>
      <c r="E264" s="39" t="s">
        <v>658</v>
      </c>
      <c r="F264" s="39" t="s">
        <v>1117</v>
      </c>
      <c r="G264" s="39" t="s">
        <v>656</v>
      </c>
      <c r="H264" s="39" t="s">
        <v>676</v>
      </c>
      <c r="I264" s="39" t="s">
        <v>700</v>
      </c>
      <c r="J264" s="39" t="s">
        <v>709</v>
      </c>
      <c r="K264" s="39" t="s">
        <v>694</v>
      </c>
      <c r="L264" s="39" t="s">
        <v>743</v>
      </c>
      <c r="M264" s="39">
        <v>0</v>
      </c>
      <c r="N264" s="43"/>
    </row>
    <row r="265" customHeight="1" spans="1:14">
      <c r="A265" s="40">
        <v>954</v>
      </c>
      <c r="B265" s="41" t="s">
        <v>1118</v>
      </c>
      <c r="C265" s="41" t="s">
        <v>691</v>
      </c>
      <c r="D265" s="41" t="s">
        <v>640</v>
      </c>
      <c r="E265" s="41" t="s">
        <v>658</v>
      </c>
      <c r="F265" s="41" t="s">
        <v>1119</v>
      </c>
      <c r="G265" s="41" t="s">
        <v>656</v>
      </c>
      <c r="H265" s="41" t="s">
        <v>683</v>
      </c>
      <c r="I265" s="41" t="s">
        <v>677</v>
      </c>
      <c r="J265" s="41" t="s">
        <v>709</v>
      </c>
      <c r="K265" s="41" t="s">
        <v>694</v>
      </c>
      <c r="L265" s="41" t="s">
        <v>715</v>
      </c>
      <c r="M265" s="41">
        <v>0</v>
      </c>
      <c r="N265" s="44"/>
    </row>
    <row r="266" customHeight="1" spans="1:14">
      <c r="A266" s="38">
        <v>955</v>
      </c>
      <c r="B266" s="39" t="s">
        <v>1120</v>
      </c>
      <c r="C266" s="39" t="s">
        <v>674</v>
      </c>
      <c r="D266" s="39" t="s">
        <v>641</v>
      </c>
      <c r="E266" s="39" t="s">
        <v>657</v>
      </c>
      <c r="F266" s="39" t="s">
        <v>1121</v>
      </c>
      <c r="G266" s="39" t="s">
        <v>656</v>
      </c>
      <c r="H266" s="39" t="s">
        <v>683</v>
      </c>
      <c r="I266" s="39" t="s">
        <v>688</v>
      </c>
      <c r="J266" s="39" t="s">
        <v>678</v>
      </c>
      <c r="K266" s="39" t="s">
        <v>689</v>
      </c>
      <c r="L266" s="39" t="s">
        <v>680</v>
      </c>
      <c r="M266" s="39">
        <v>0.9</v>
      </c>
      <c r="N266" s="43"/>
    </row>
    <row r="267" customHeight="1" spans="1:14">
      <c r="A267" s="40">
        <v>956</v>
      </c>
      <c r="B267" s="41" t="s">
        <v>1122</v>
      </c>
      <c r="C267" s="41" t="s">
        <v>691</v>
      </c>
      <c r="D267" s="41" t="s">
        <v>644</v>
      </c>
      <c r="E267" s="41" t="s">
        <v>657</v>
      </c>
      <c r="F267" s="41" t="s">
        <v>1123</v>
      </c>
      <c r="G267" s="41" t="s">
        <v>656</v>
      </c>
      <c r="H267" s="41" t="s">
        <v>707</v>
      </c>
      <c r="I267" s="41" t="s">
        <v>700</v>
      </c>
      <c r="J267" s="41" t="s">
        <v>678</v>
      </c>
      <c r="K267" s="41" t="s">
        <v>694</v>
      </c>
      <c r="L267" s="41" t="s">
        <v>715</v>
      </c>
      <c r="M267" s="41">
        <v>0</v>
      </c>
      <c r="N267" s="44"/>
    </row>
    <row r="268" customHeight="1" spans="1:14">
      <c r="A268" s="38">
        <v>957</v>
      </c>
      <c r="B268" s="39" t="s">
        <v>1124</v>
      </c>
      <c r="C268" s="39" t="s">
        <v>674</v>
      </c>
      <c r="D268" s="39" t="s">
        <v>646</v>
      </c>
      <c r="E268" s="39" t="s">
        <v>657</v>
      </c>
      <c r="F268" s="39" t="s">
        <v>1125</v>
      </c>
      <c r="G268" s="39" t="s">
        <v>655</v>
      </c>
      <c r="H268" s="39" t="s">
        <v>722</v>
      </c>
      <c r="I268" s="39" t="s">
        <v>677</v>
      </c>
      <c r="J268" s="39" t="s">
        <v>709</v>
      </c>
      <c r="K268" s="39" t="s">
        <v>694</v>
      </c>
      <c r="L268" s="39" t="s">
        <v>715</v>
      </c>
      <c r="M268" s="39">
        <v>0</v>
      </c>
      <c r="N268" s="43"/>
    </row>
    <row r="269" customHeight="1" spans="1:14">
      <c r="A269" s="40">
        <v>958</v>
      </c>
      <c r="B269" s="41" t="s">
        <v>1126</v>
      </c>
      <c r="C269" s="41" t="s">
        <v>691</v>
      </c>
      <c r="D269" s="41" t="s">
        <v>646</v>
      </c>
      <c r="E269" s="41" t="s">
        <v>658</v>
      </c>
      <c r="F269" s="41" t="s">
        <v>1127</v>
      </c>
      <c r="G269" s="41" t="s">
        <v>655</v>
      </c>
      <c r="H269" s="41" t="s">
        <v>718</v>
      </c>
      <c r="I269" s="41" t="s">
        <v>688</v>
      </c>
      <c r="J269" s="41" t="s">
        <v>709</v>
      </c>
      <c r="K269" s="41" t="s">
        <v>679</v>
      </c>
      <c r="L269" s="41" t="s">
        <v>680</v>
      </c>
      <c r="M269" s="41">
        <v>0.9</v>
      </c>
      <c r="N269" s="44"/>
    </row>
    <row r="270" customHeight="1" spans="1:14">
      <c r="A270" s="38">
        <v>959</v>
      </c>
      <c r="B270" s="39" t="s">
        <v>1128</v>
      </c>
      <c r="C270" s="39" t="s">
        <v>691</v>
      </c>
      <c r="D270" s="39" t="s">
        <v>642</v>
      </c>
      <c r="E270" s="39" t="s">
        <v>657</v>
      </c>
      <c r="F270" s="39" t="s">
        <v>1129</v>
      </c>
      <c r="G270" s="39" t="s">
        <v>652</v>
      </c>
      <c r="H270" s="39" t="s">
        <v>676</v>
      </c>
      <c r="I270" s="39" t="s">
        <v>700</v>
      </c>
      <c r="J270" s="39" t="s">
        <v>678</v>
      </c>
      <c r="K270" s="39" t="s">
        <v>689</v>
      </c>
      <c r="L270" s="39" t="s">
        <v>684</v>
      </c>
      <c r="M270" s="39">
        <v>0.85</v>
      </c>
      <c r="N270" s="43"/>
    </row>
    <row r="271" customHeight="1" spans="1:14">
      <c r="A271" s="40">
        <v>960</v>
      </c>
      <c r="B271" s="41" t="s">
        <v>1130</v>
      </c>
      <c r="C271" s="41" t="s">
        <v>674</v>
      </c>
      <c r="D271" s="41" t="s">
        <v>647</v>
      </c>
      <c r="E271" s="41" t="s">
        <v>657</v>
      </c>
      <c r="F271" s="41" t="s">
        <v>1131</v>
      </c>
      <c r="G271" s="41" t="s">
        <v>652</v>
      </c>
      <c r="H271" s="41" t="s">
        <v>727</v>
      </c>
      <c r="I271" s="41" t="s">
        <v>688</v>
      </c>
      <c r="J271" s="41" t="s">
        <v>709</v>
      </c>
      <c r="K271" s="41" t="s">
        <v>694</v>
      </c>
      <c r="L271" s="41" t="s">
        <v>719</v>
      </c>
      <c r="M271" s="41">
        <v>0</v>
      </c>
      <c r="N271" s="44"/>
    </row>
    <row r="272" customHeight="1" spans="1:14">
      <c r="A272" s="38">
        <v>961</v>
      </c>
      <c r="B272" s="39" t="s">
        <v>1132</v>
      </c>
      <c r="C272" s="39" t="s">
        <v>691</v>
      </c>
      <c r="D272" s="39" t="s">
        <v>647</v>
      </c>
      <c r="E272" s="39" t="s">
        <v>657</v>
      </c>
      <c r="F272" s="39" t="s">
        <v>1133</v>
      </c>
      <c r="G272" s="39" t="s">
        <v>655</v>
      </c>
      <c r="H272" s="39" t="s">
        <v>707</v>
      </c>
      <c r="I272" s="39" t="s">
        <v>677</v>
      </c>
      <c r="J272" s="39" t="s">
        <v>678</v>
      </c>
      <c r="K272" s="39" t="s">
        <v>710</v>
      </c>
      <c r="L272" s="39" t="s">
        <v>680</v>
      </c>
      <c r="M272" s="39">
        <v>0.9</v>
      </c>
      <c r="N272" s="43"/>
    </row>
    <row r="273" customHeight="1" spans="1:14">
      <c r="A273" s="40">
        <v>962</v>
      </c>
      <c r="B273" s="41" t="s">
        <v>927</v>
      </c>
      <c r="C273" s="41" t="s">
        <v>691</v>
      </c>
      <c r="D273" s="41" t="s">
        <v>641</v>
      </c>
      <c r="E273" s="41" t="s">
        <v>657</v>
      </c>
      <c r="F273" s="41" t="s">
        <v>1134</v>
      </c>
      <c r="G273" s="41" t="s">
        <v>656</v>
      </c>
      <c r="H273" s="41" t="s">
        <v>687</v>
      </c>
      <c r="I273" s="41" t="s">
        <v>693</v>
      </c>
      <c r="J273" s="41" t="s">
        <v>709</v>
      </c>
      <c r="K273" s="41" t="s">
        <v>732</v>
      </c>
      <c r="L273" s="41" t="s">
        <v>695</v>
      </c>
      <c r="M273" s="41">
        <v>0.6</v>
      </c>
      <c r="N273" s="44"/>
    </row>
    <row r="274" customHeight="1" spans="1:14">
      <c r="A274" s="38">
        <v>963</v>
      </c>
      <c r="B274" s="39" t="s">
        <v>1135</v>
      </c>
      <c r="C274" s="39" t="s">
        <v>691</v>
      </c>
      <c r="D274" s="39" t="s">
        <v>647</v>
      </c>
      <c r="E274" s="39" t="s">
        <v>658</v>
      </c>
      <c r="F274" s="39" t="s">
        <v>1136</v>
      </c>
      <c r="G274" s="39" t="s">
        <v>655</v>
      </c>
      <c r="H274" s="39" t="s">
        <v>722</v>
      </c>
      <c r="I274" s="39" t="s">
        <v>700</v>
      </c>
      <c r="J274" s="39" t="s">
        <v>678</v>
      </c>
      <c r="K274" s="39" t="s">
        <v>732</v>
      </c>
      <c r="L274" s="39" t="s">
        <v>684</v>
      </c>
      <c r="M274" s="39">
        <v>0.85</v>
      </c>
      <c r="N274" s="43"/>
    </row>
    <row r="275" customHeight="1" spans="1:14">
      <c r="A275" s="40">
        <v>964</v>
      </c>
      <c r="B275" s="41" t="s">
        <v>1137</v>
      </c>
      <c r="C275" s="41" t="s">
        <v>691</v>
      </c>
      <c r="D275" s="41" t="s">
        <v>649</v>
      </c>
      <c r="E275" s="41" t="s">
        <v>658</v>
      </c>
      <c r="F275" s="41" t="s">
        <v>1138</v>
      </c>
      <c r="G275" s="41" t="s">
        <v>653</v>
      </c>
      <c r="H275" s="41" t="s">
        <v>727</v>
      </c>
      <c r="I275" s="41" t="s">
        <v>700</v>
      </c>
      <c r="J275" s="41" t="s">
        <v>709</v>
      </c>
      <c r="K275" s="41" t="s">
        <v>679</v>
      </c>
      <c r="L275" s="41" t="s">
        <v>743</v>
      </c>
      <c r="M275" s="41">
        <v>0</v>
      </c>
      <c r="N275" s="44"/>
    </row>
    <row r="276" customHeight="1" spans="1:14">
      <c r="A276" s="38">
        <v>965</v>
      </c>
      <c r="B276" s="39" t="s">
        <v>1013</v>
      </c>
      <c r="C276" s="39" t="s">
        <v>691</v>
      </c>
      <c r="D276" s="39" t="s">
        <v>646</v>
      </c>
      <c r="E276" s="39" t="s">
        <v>651</v>
      </c>
      <c r="F276" s="39" t="s">
        <v>1139</v>
      </c>
      <c r="G276" s="39" t="s">
        <v>652</v>
      </c>
      <c r="H276" s="39" t="s">
        <v>683</v>
      </c>
      <c r="I276" s="39" t="s">
        <v>700</v>
      </c>
      <c r="J276" s="39" t="s">
        <v>709</v>
      </c>
      <c r="K276" s="39" t="s">
        <v>710</v>
      </c>
      <c r="L276" s="39" t="s">
        <v>719</v>
      </c>
      <c r="M276" s="39">
        <v>0</v>
      </c>
      <c r="N276" s="43"/>
    </row>
    <row r="277" customHeight="1" spans="1:14">
      <c r="A277" s="40">
        <v>966</v>
      </c>
      <c r="B277" s="41" t="s">
        <v>968</v>
      </c>
      <c r="C277" s="41" t="s">
        <v>691</v>
      </c>
      <c r="D277" s="41" t="s">
        <v>649</v>
      </c>
      <c r="E277" s="41" t="s">
        <v>658</v>
      </c>
      <c r="F277" s="41" t="s">
        <v>1140</v>
      </c>
      <c r="G277" s="41" t="s">
        <v>654</v>
      </c>
      <c r="H277" s="41" t="s">
        <v>687</v>
      </c>
      <c r="I277" s="41" t="s">
        <v>700</v>
      </c>
      <c r="J277" s="41" t="s">
        <v>678</v>
      </c>
      <c r="K277" s="41" t="s">
        <v>689</v>
      </c>
      <c r="L277" s="41" t="s">
        <v>743</v>
      </c>
      <c r="M277" s="41">
        <v>0</v>
      </c>
      <c r="N277" s="44"/>
    </row>
    <row r="278" customHeight="1" spans="1:14">
      <c r="A278" s="38">
        <v>967</v>
      </c>
      <c r="B278" s="39" t="s">
        <v>1141</v>
      </c>
      <c r="C278" s="39" t="s">
        <v>691</v>
      </c>
      <c r="D278" s="39" t="s">
        <v>646</v>
      </c>
      <c r="E278" s="39" t="s">
        <v>657</v>
      </c>
      <c r="F278" s="39" t="s">
        <v>1142</v>
      </c>
      <c r="G278" s="39" t="s">
        <v>655</v>
      </c>
      <c r="H278" s="39" t="s">
        <v>707</v>
      </c>
      <c r="I278" s="39" t="s">
        <v>693</v>
      </c>
      <c r="J278" s="39" t="s">
        <v>678</v>
      </c>
      <c r="K278" s="39" t="s">
        <v>701</v>
      </c>
      <c r="L278" s="39" t="s">
        <v>684</v>
      </c>
      <c r="M278" s="39">
        <v>0.85</v>
      </c>
      <c r="N278" s="43"/>
    </row>
    <row r="279" customHeight="1" spans="1:14">
      <c r="A279" s="40">
        <v>968</v>
      </c>
      <c r="B279" s="41" t="s">
        <v>1143</v>
      </c>
      <c r="C279" s="41" t="s">
        <v>691</v>
      </c>
      <c r="D279" s="41" t="s">
        <v>639</v>
      </c>
      <c r="E279" s="41" t="s">
        <v>658</v>
      </c>
      <c r="F279" s="41" t="s">
        <v>1144</v>
      </c>
      <c r="G279" s="41" t="s">
        <v>652</v>
      </c>
      <c r="H279" s="41" t="s">
        <v>687</v>
      </c>
      <c r="I279" s="41" t="s">
        <v>693</v>
      </c>
      <c r="J279" s="41" t="s">
        <v>678</v>
      </c>
      <c r="K279" s="41" t="s">
        <v>689</v>
      </c>
      <c r="L279" s="41" t="s">
        <v>715</v>
      </c>
      <c r="M279" s="41">
        <v>0</v>
      </c>
      <c r="N279" s="44"/>
    </row>
    <row r="280" customHeight="1" spans="1:14">
      <c r="A280" s="38">
        <v>969</v>
      </c>
      <c r="B280" s="39" t="s">
        <v>1145</v>
      </c>
      <c r="C280" s="39" t="s">
        <v>691</v>
      </c>
      <c r="D280" s="39" t="s">
        <v>639</v>
      </c>
      <c r="E280" s="39" t="s">
        <v>657</v>
      </c>
      <c r="F280" s="39" t="s">
        <v>1146</v>
      </c>
      <c r="G280" s="39" t="s">
        <v>655</v>
      </c>
      <c r="H280" s="39" t="s">
        <v>676</v>
      </c>
      <c r="I280" s="39" t="s">
        <v>700</v>
      </c>
      <c r="J280" s="39" t="s">
        <v>709</v>
      </c>
      <c r="K280" s="39" t="s">
        <v>679</v>
      </c>
      <c r="L280" s="39" t="s">
        <v>719</v>
      </c>
      <c r="M280" s="39">
        <v>0</v>
      </c>
      <c r="N280" s="43"/>
    </row>
    <row r="281" customHeight="1" spans="1:14">
      <c r="A281" s="40">
        <v>970</v>
      </c>
      <c r="B281" s="41" t="s">
        <v>1080</v>
      </c>
      <c r="C281" s="41" t="s">
        <v>674</v>
      </c>
      <c r="D281" s="41" t="s">
        <v>646</v>
      </c>
      <c r="E281" s="41" t="s">
        <v>657</v>
      </c>
      <c r="F281" s="41" t="s">
        <v>1147</v>
      </c>
      <c r="G281" s="41" t="s">
        <v>655</v>
      </c>
      <c r="H281" s="41" t="s">
        <v>676</v>
      </c>
      <c r="I281" s="41" t="s">
        <v>688</v>
      </c>
      <c r="J281" s="41" t="s">
        <v>678</v>
      </c>
      <c r="K281" s="41" t="s">
        <v>710</v>
      </c>
      <c r="L281" s="41" t="s">
        <v>715</v>
      </c>
      <c r="M281" s="41">
        <v>0</v>
      </c>
      <c r="N281" s="44"/>
    </row>
    <row r="282" customHeight="1" spans="1:14">
      <c r="A282" s="38">
        <v>971</v>
      </c>
      <c r="B282" s="39" t="s">
        <v>1148</v>
      </c>
      <c r="C282" s="39" t="s">
        <v>691</v>
      </c>
      <c r="D282" s="39" t="s">
        <v>646</v>
      </c>
      <c r="E282" s="39" t="s">
        <v>651</v>
      </c>
      <c r="F282" s="39" t="s">
        <v>1149</v>
      </c>
      <c r="G282" s="39" t="s">
        <v>654</v>
      </c>
      <c r="H282" s="39" t="s">
        <v>722</v>
      </c>
      <c r="I282" s="39" t="s">
        <v>708</v>
      </c>
      <c r="J282" s="39" t="s">
        <v>678</v>
      </c>
      <c r="K282" s="39" t="s">
        <v>701</v>
      </c>
      <c r="L282" s="39" t="s">
        <v>719</v>
      </c>
      <c r="M282" s="39">
        <v>0</v>
      </c>
      <c r="N282" s="43"/>
    </row>
    <row r="283" customHeight="1" spans="1:14">
      <c r="A283" s="40">
        <v>972</v>
      </c>
      <c r="B283" s="41" t="s">
        <v>1150</v>
      </c>
      <c r="C283" s="41" t="s">
        <v>691</v>
      </c>
      <c r="D283" s="41" t="s">
        <v>648</v>
      </c>
      <c r="E283" s="41" t="s">
        <v>658</v>
      </c>
      <c r="F283" s="41" t="s">
        <v>1151</v>
      </c>
      <c r="G283" s="41" t="s">
        <v>655</v>
      </c>
      <c r="H283" s="41" t="s">
        <v>722</v>
      </c>
      <c r="I283" s="41" t="s">
        <v>693</v>
      </c>
      <c r="J283" s="41" t="s">
        <v>678</v>
      </c>
      <c r="K283" s="41" t="s">
        <v>679</v>
      </c>
      <c r="L283" s="41" t="s">
        <v>695</v>
      </c>
      <c r="M283" s="41">
        <v>0.6</v>
      </c>
      <c r="N283" s="44"/>
    </row>
    <row r="284" customHeight="1" spans="1:14">
      <c r="A284" s="38">
        <v>973</v>
      </c>
      <c r="B284" s="39" t="s">
        <v>806</v>
      </c>
      <c r="C284" s="39" t="s">
        <v>674</v>
      </c>
      <c r="D284" s="39" t="s">
        <v>649</v>
      </c>
      <c r="E284" s="39" t="s">
        <v>651</v>
      </c>
      <c r="F284" s="39" t="s">
        <v>1152</v>
      </c>
      <c r="G284" s="39" t="s">
        <v>656</v>
      </c>
      <c r="H284" s="39" t="s">
        <v>722</v>
      </c>
      <c r="I284" s="39" t="s">
        <v>693</v>
      </c>
      <c r="J284" s="39" t="s">
        <v>709</v>
      </c>
      <c r="K284" s="39" t="s">
        <v>694</v>
      </c>
      <c r="L284" s="39" t="s">
        <v>680</v>
      </c>
      <c r="M284" s="39">
        <v>0.9</v>
      </c>
      <c r="N284" s="43"/>
    </row>
    <row r="285" customHeight="1" spans="1:14">
      <c r="A285" s="40">
        <v>974</v>
      </c>
      <c r="B285" s="41" t="s">
        <v>1153</v>
      </c>
      <c r="C285" s="41" t="s">
        <v>674</v>
      </c>
      <c r="D285" s="41" t="s">
        <v>642</v>
      </c>
      <c r="E285" s="41" t="s">
        <v>651</v>
      </c>
      <c r="F285" s="41" t="s">
        <v>1154</v>
      </c>
      <c r="G285" s="41" t="s">
        <v>652</v>
      </c>
      <c r="H285" s="41" t="s">
        <v>718</v>
      </c>
      <c r="I285" s="41" t="s">
        <v>693</v>
      </c>
      <c r="J285" s="41" t="s">
        <v>709</v>
      </c>
      <c r="K285" s="41" t="s">
        <v>732</v>
      </c>
      <c r="L285" s="41" t="s">
        <v>695</v>
      </c>
      <c r="M285" s="41">
        <v>0.6</v>
      </c>
      <c r="N285" s="44"/>
    </row>
    <row r="286" customHeight="1" spans="1:14">
      <c r="A286" s="38">
        <v>975</v>
      </c>
      <c r="B286" s="39" t="s">
        <v>1137</v>
      </c>
      <c r="C286" s="39" t="s">
        <v>691</v>
      </c>
      <c r="D286" s="39" t="s">
        <v>649</v>
      </c>
      <c r="E286" s="39" t="s">
        <v>658</v>
      </c>
      <c r="F286" s="39" t="s">
        <v>1155</v>
      </c>
      <c r="G286" s="39" t="s">
        <v>655</v>
      </c>
      <c r="H286" s="39" t="s">
        <v>687</v>
      </c>
      <c r="I286" s="39" t="s">
        <v>688</v>
      </c>
      <c r="J286" s="39" t="s">
        <v>678</v>
      </c>
      <c r="K286" s="39" t="s">
        <v>689</v>
      </c>
      <c r="L286" s="39" t="s">
        <v>680</v>
      </c>
      <c r="M286" s="39">
        <v>0.9</v>
      </c>
      <c r="N286" s="43"/>
    </row>
    <row r="287" customHeight="1" spans="1:14">
      <c r="A287" s="40">
        <v>976</v>
      </c>
      <c r="B287" s="41" t="s">
        <v>1156</v>
      </c>
      <c r="C287" s="41" t="s">
        <v>674</v>
      </c>
      <c r="D287" s="41" t="s">
        <v>645</v>
      </c>
      <c r="E287" s="41" t="s">
        <v>658</v>
      </c>
      <c r="F287" s="41" t="s">
        <v>1157</v>
      </c>
      <c r="G287" s="41" t="s">
        <v>653</v>
      </c>
      <c r="H287" s="41" t="s">
        <v>683</v>
      </c>
      <c r="I287" s="41" t="s">
        <v>677</v>
      </c>
      <c r="J287" s="41" t="s">
        <v>709</v>
      </c>
      <c r="K287" s="41" t="s">
        <v>701</v>
      </c>
      <c r="L287" s="41" t="s">
        <v>719</v>
      </c>
      <c r="M287" s="41">
        <v>0</v>
      </c>
      <c r="N287" s="44"/>
    </row>
    <row r="288" customHeight="1" spans="1:14">
      <c r="A288" s="38">
        <v>977</v>
      </c>
      <c r="B288" s="39" t="s">
        <v>1016</v>
      </c>
      <c r="C288" s="39" t="s">
        <v>674</v>
      </c>
      <c r="D288" s="39" t="s">
        <v>647</v>
      </c>
      <c r="E288" s="39" t="s">
        <v>658</v>
      </c>
      <c r="F288" s="39" t="s">
        <v>1158</v>
      </c>
      <c r="G288" s="39" t="s">
        <v>655</v>
      </c>
      <c r="H288" s="39" t="s">
        <v>722</v>
      </c>
      <c r="I288" s="39" t="s">
        <v>688</v>
      </c>
      <c r="J288" s="39" t="s">
        <v>709</v>
      </c>
      <c r="K288" s="39" t="s">
        <v>679</v>
      </c>
      <c r="L288" s="39" t="s">
        <v>695</v>
      </c>
      <c r="M288" s="39">
        <v>0.6</v>
      </c>
      <c r="N288" s="43"/>
    </row>
    <row r="289" customHeight="1" spans="1:14">
      <c r="A289" s="40">
        <v>978</v>
      </c>
      <c r="B289" s="41" t="s">
        <v>1034</v>
      </c>
      <c r="C289" s="41" t="s">
        <v>674</v>
      </c>
      <c r="D289" s="41" t="s">
        <v>647</v>
      </c>
      <c r="E289" s="41" t="s">
        <v>658</v>
      </c>
      <c r="F289" s="41" t="s">
        <v>1159</v>
      </c>
      <c r="G289" s="41" t="s">
        <v>653</v>
      </c>
      <c r="H289" s="41" t="s">
        <v>727</v>
      </c>
      <c r="I289" s="41" t="s">
        <v>693</v>
      </c>
      <c r="J289" s="41" t="s">
        <v>678</v>
      </c>
      <c r="K289" s="41" t="s">
        <v>732</v>
      </c>
      <c r="L289" s="41" t="s">
        <v>684</v>
      </c>
      <c r="M289" s="41">
        <v>0.85</v>
      </c>
      <c r="N289" s="44"/>
    </row>
    <row r="290" customHeight="1" spans="1:14">
      <c r="A290" s="38">
        <v>979</v>
      </c>
      <c r="B290" s="39" t="s">
        <v>725</v>
      </c>
      <c r="C290" s="39" t="s">
        <v>674</v>
      </c>
      <c r="D290" s="39" t="s">
        <v>642</v>
      </c>
      <c r="E290" s="39" t="s">
        <v>658</v>
      </c>
      <c r="F290" s="39" t="s">
        <v>1160</v>
      </c>
      <c r="G290" s="39" t="s">
        <v>656</v>
      </c>
      <c r="H290" s="39" t="s">
        <v>683</v>
      </c>
      <c r="I290" s="39" t="s">
        <v>677</v>
      </c>
      <c r="J290" s="39" t="s">
        <v>678</v>
      </c>
      <c r="K290" s="39" t="s">
        <v>694</v>
      </c>
      <c r="L290" s="39" t="s">
        <v>680</v>
      </c>
      <c r="M290" s="39">
        <v>0.9</v>
      </c>
      <c r="N290" s="43"/>
    </row>
    <row r="291" customHeight="1" spans="1:14">
      <c r="A291" s="40">
        <v>980</v>
      </c>
      <c r="B291" s="41" t="s">
        <v>1161</v>
      </c>
      <c r="C291" s="41" t="s">
        <v>674</v>
      </c>
      <c r="D291" s="41" t="s">
        <v>647</v>
      </c>
      <c r="E291" s="41" t="s">
        <v>657</v>
      </c>
      <c r="F291" s="41" t="s">
        <v>1162</v>
      </c>
      <c r="G291" s="41" t="s">
        <v>654</v>
      </c>
      <c r="H291" s="41" t="s">
        <v>727</v>
      </c>
      <c r="I291" s="41" t="s">
        <v>688</v>
      </c>
      <c r="J291" s="41" t="s">
        <v>678</v>
      </c>
      <c r="K291" s="41" t="s">
        <v>694</v>
      </c>
      <c r="L291" s="41" t="s">
        <v>680</v>
      </c>
      <c r="M291" s="41">
        <v>0.9</v>
      </c>
      <c r="N291" s="44"/>
    </row>
    <row r="292" customHeight="1" spans="1:14">
      <c r="A292" s="38">
        <v>981</v>
      </c>
      <c r="B292" s="39" t="s">
        <v>725</v>
      </c>
      <c r="C292" s="39" t="s">
        <v>674</v>
      </c>
      <c r="D292" s="39" t="s">
        <v>642</v>
      </c>
      <c r="E292" s="39" t="s">
        <v>658</v>
      </c>
      <c r="F292" s="39" t="s">
        <v>1163</v>
      </c>
      <c r="G292" s="39" t="s">
        <v>652</v>
      </c>
      <c r="H292" s="39" t="s">
        <v>718</v>
      </c>
      <c r="I292" s="39" t="s">
        <v>708</v>
      </c>
      <c r="J292" s="39" t="s">
        <v>678</v>
      </c>
      <c r="K292" s="39" t="s">
        <v>732</v>
      </c>
      <c r="L292" s="39" t="s">
        <v>715</v>
      </c>
      <c r="M292" s="39">
        <v>0</v>
      </c>
      <c r="N292" s="43"/>
    </row>
    <row r="293" customHeight="1" spans="1:14">
      <c r="A293" s="40">
        <v>982</v>
      </c>
      <c r="B293" s="41" t="s">
        <v>1164</v>
      </c>
      <c r="C293" s="41" t="s">
        <v>691</v>
      </c>
      <c r="D293" s="41" t="s">
        <v>649</v>
      </c>
      <c r="E293" s="41" t="s">
        <v>658</v>
      </c>
      <c r="F293" s="41" t="s">
        <v>1165</v>
      </c>
      <c r="G293" s="41" t="s">
        <v>654</v>
      </c>
      <c r="H293" s="41" t="s">
        <v>727</v>
      </c>
      <c r="I293" s="41" t="s">
        <v>708</v>
      </c>
      <c r="J293" s="41" t="s">
        <v>678</v>
      </c>
      <c r="K293" s="41" t="s">
        <v>689</v>
      </c>
      <c r="L293" s="41" t="s">
        <v>719</v>
      </c>
      <c r="M293" s="41">
        <v>0</v>
      </c>
      <c r="N293" s="44"/>
    </row>
    <row r="294" customHeight="1" spans="1:14">
      <c r="A294" s="38">
        <v>983</v>
      </c>
      <c r="B294" s="39" t="s">
        <v>1166</v>
      </c>
      <c r="C294" s="39" t="s">
        <v>691</v>
      </c>
      <c r="D294" s="39" t="s">
        <v>645</v>
      </c>
      <c r="E294" s="39" t="s">
        <v>658</v>
      </c>
      <c r="F294" s="39" t="s">
        <v>1167</v>
      </c>
      <c r="G294" s="39" t="s">
        <v>653</v>
      </c>
      <c r="H294" s="39" t="s">
        <v>722</v>
      </c>
      <c r="I294" s="39" t="s">
        <v>688</v>
      </c>
      <c r="J294" s="39" t="s">
        <v>678</v>
      </c>
      <c r="K294" s="39" t="s">
        <v>694</v>
      </c>
      <c r="L294" s="39" t="s">
        <v>684</v>
      </c>
      <c r="M294" s="39">
        <v>0.85</v>
      </c>
      <c r="N294" s="43"/>
    </row>
    <row r="295" customHeight="1" spans="1:14">
      <c r="A295" s="40">
        <v>984</v>
      </c>
      <c r="B295" s="41" t="s">
        <v>1168</v>
      </c>
      <c r="C295" s="41" t="s">
        <v>674</v>
      </c>
      <c r="D295" s="41" t="s">
        <v>640</v>
      </c>
      <c r="E295" s="41" t="s">
        <v>658</v>
      </c>
      <c r="F295" s="41" t="s">
        <v>1169</v>
      </c>
      <c r="G295" s="41" t="s">
        <v>653</v>
      </c>
      <c r="H295" s="41" t="s">
        <v>707</v>
      </c>
      <c r="I295" s="41" t="s">
        <v>708</v>
      </c>
      <c r="J295" s="41" t="s">
        <v>709</v>
      </c>
      <c r="K295" s="41" t="s">
        <v>732</v>
      </c>
      <c r="L295" s="41" t="s">
        <v>715</v>
      </c>
      <c r="M295" s="41">
        <v>0</v>
      </c>
      <c r="N295" s="44"/>
    </row>
    <row r="296" customHeight="1" spans="1:14">
      <c r="A296" s="38">
        <v>985</v>
      </c>
      <c r="B296" s="39" t="s">
        <v>915</v>
      </c>
      <c r="C296" s="39" t="s">
        <v>691</v>
      </c>
      <c r="D296" s="39" t="s">
        <v>639</v>
      </c>
      <c r="E296" s="39" t="s">
        <v>658</v>
      </c>
      <c r="F296" s="39" t="s">
        <v>1170</v>
      </c>
      <c r="G296" s="39" t="s">
        <v>654</v>
      </c>
      <c r="H296" s="39" t="s">
        <v>718</v>
      </c>
      <c r="I296" s="39" t="s">
        <v>693</v>
      </c>
      <c r="J296" s="39" t="s">
        <v>678</v>
      </c>
      <c r="K296" s="39" t="s">
        <v>689</v>
      </c>
      <c r="L296" s="39" t="s">
        <v>684</v>
      </c>
      <c r="M296" s="39">
        <v>0.85</v>
      </c>
      <c r="N296" s="43"/>
    </row>
    <row r="297" customHeight="1" spans="1:14">
      <c r="A297" s="40">
        <v>986</v>
      </c>
      <c r="B297" s="41" t="s">
        <v>845</v>
      </c>
      <c r="C297" s="41" t="s">
        <v>674</v>
      </c>
      <c r="D297" s="41" t="s">
        <v>646</v>
      </c>
      <c r="E297" s="41" t="s">
        <v>658</v>
      </c>
      <c r="F297" s="41" t="s">
        <v>1171</v>
      </c>
      <c r="G297" s="41" t="s">
        <v>655</v>
      </c>
      <c r="H297" s="41" t="s">
        <v>676</v>
      </c>
      <c r="I297" s="41" t="s">
        <v>688</v>
      </c>
      <c r="J297" s="41" t="s">
        <v>709</v>
      </c>
      <c r="K297" s="41" t="s">
        <v>710</v>
      </c>
      <c r="L297" s="41" t="s">
        <v>680</v>
      </c>
      <c r="M297" s="41">
        <v>0.9</v>
      </c>
      <c r="N297" s="44"/>
    </row>
    <row r="298" customHeight="1" spans="1:14">
      <c r="A298" s="38">
        <v>987</v>
      </c>
      <c r="B298" s="39" t="s">
        <v>1172</v>
      </c>
      <c r="C298" s="39" t="s">
        <v>674</v>
      </c>
      <c r="D298" s="39" t="s">
        <v>647</v>
      </c>
      <c r="E298" s="39" t="s">
        <v>657</v>
      </c>
      <c r="F298" s="39" t="s">
        <v>1173</v>
      </c>
      <c r="G298" s="39" t="s">
        <v>653</v>
      </c>
      <c r="H298" s="39" t="s">
        <v>718</v>
      </c>
      <c r="I298" s="39" t="s">
        <v>677</v>
      </c>
      <c r="J298" s="39" t="s">
        <v>709</v>
      </c>
      <c r="K298" s="39" t="s">
        <v>679</v>
      </c>
      <c r="L298" s="39" t="s">
        <v>695</v>
      </c>
      <c r="M298" s="39">
        <v>0.6</v>
      </c>
      <c r="N298" s="43"/>
    </row>
    <row r="299" customHeight="1" spans="1:14">
      <c r="A299" s="40">
        <v>988</v>
      </c>
      <c r="B299" s="41" t="s">
        <v>1174</v>
      </c>
      <c r="C299" s="41" t="s">
        <v>691</v>
      </c>
      <c r="D299" s="41" t="s">
        <v>639</v>
      </c>
      <c r="E299" s="41" t="s">
        <v>658</v>
      </c>
      <c r="F299" s="41" t="s">
        <v>1175</v>
      </c>
      <c r="G299" s="41" t="s">
        <v>655</v>
      </c>
      <c r="H299" s="41" t="s">
        <v>722</v>
      </c>
      <c r="I299" s="41" t="s">
        <v>677</v>
      </c>
      <c r="J299" s="41" t="s">
        <v>678</v>
      </c>
      <c r="K299" s="41" t="s">
        <v>679</v>
      </c>
      <c r="L299" s="41" t="s">
        <v>719</v>
      </c>
      <c r="M299" s="41">
        <v>0</v>
      </c>
      <c r="N299" s="44"/>
    </row>
    <row r="300" customHeight="1" spans="1:14">
      <c r="A300" s="38">
        <v>989</v>
      </c>
      <c r="B300" s="39" t="s">
        <v>1176</v>
      </c>
      <c r="C300" s="39" t="s">
        <v>691</v>
      </c>
      <c r="D300" s="39" t="s">
        <v>644</v>
      </c>
      <c r="E300" s="39" t="s">
        <v>658</v>
      </c>
      <c r="F300" s="39" t="s">
        <v>1177</v>
      </c>
      <c r="G300" s="39" t="s">
        <v>652</v>
      </c>
      <c r="H300" s="39" t="s">
        <v>687</v>
      </c>
      <c r="I300" s="39" t="s">
        <v>708</v>
      </c>
      <c r="J300" s="39" t="s">
        <v>678</v>
      </c>
      <c r="K300" s="39" t="s">
        <v>689</v>
      </c>
      <c r="L300" s="39" t="s">
        <v>743</v>
      </c>
      <c r="M300" s="39">
        <v>0</v>
      </c>
      <c r="N300" s="43"/>
    </row>
    <row r="301" customHeight="1" spans="1:14">
      <c r="A301" s="40">
        <v>990</v>
      </c>
      <c r="B301" s="41" t="s">
        <v>1145</v>
      </c>
      <c r="C301" s="41" t="s">
        <v>691</v>
      </c>
      <c r="D301" s="41" t="s">
        <v>639</v>
      </c>
      <c r="E301" s="41" t="s">
        <v>657</v>
      </c>
      <c r="F301" s="41" t="s">
        <v>1178</v>
      </c>
      <c r="G301" s="41" t="s">
        <v>654</v>
      </c>
      <c r="H301" s="41" t="s">
        <v>683</v>
      </c>
      <c r="I301" s="41" t="s">
        <v>693</v>
      </c>
      <c r="J301" s="41" t="s">
        <v>678</v>
      </c>
      <c r="K301" s="41" t="s">
        <v>732</v>
      </c>
      <c r="L301" s="41" t="s">
        <v>719</v>
      </c>
      <c r="M301" s="41">
        <v>0</v>
      </c>
      <c r="N301" s="44"/>
    </row>
    <row r="302" customHeight="1" spans="1:14">
      <c r="A302" s="38">
        <v>991</v>
      </c>
      <c r="B302" s="39" t="s">
        <v>1179</v>
      </c>
      <c r="C302" s="39" t="s">
        <v>691</v>
      </c>
      <c r="D302" s="39" t="s">
        <v>647</v>
      </c>
      <c r="E302" s="39" t="s">
        <v>657</v>
      </c>
      <c r="F302" s="39" t="s">
        <v>1180</v>
      </c>
      <c r="G302" s="39" t="s">
        <v>655</v>
      </c>
      <c r="H302" s="39" t="s">
        <v>676</v>
      </c>
      <c r="I302" s="39" t="s">
        <v>693</v>
      </c>
      <c r="J302" s="39" t="s">
        <v>709</v>
      </c>
      <c r="K302" s="39" t="s">
        <v>701</v>
      </c>
      <c r="L302" s="39" t="s">
        <v>743</v>
      </c>
      <c r="M302" s="39">
        <v>0</v>
      </c>
      <c r="N302" s="43"/>
    </row>
    <row r="303" customHeight="1" spans="1:14">
      <c r="A303" s="40">
        <v>992</v>
      </c>
      <c r="B303" s="41" t="s">
        <v>973</v>
      </c>
      <c r="C303" s="41" t="s">
        <v>691</v>
      </c>
      <c r="D303" s="41" t="s">
        <v>638</v>
      </c>
      <c r="E303" s="41" t="s">
        <v>658</v>
      </c>
      <c r="F303" s="41" t="s">
        <v>1181</v>
      </c>
      <c r="G303" s="41" t="s">
        <v>655</v>
      </c>
      <c r="H303" s="41" t="s">
        <v>687</v>
      </c>
      <c r="I303" s="41" t="s">
        <v>693</v>
      </c>
      <c r="J303" s="41" t="s">
        <v>678</v>
      </c>
      <c r="K303" s="41" t="s">
        <v>689</v>
      </c>
      <c r="L303" s="41" t="s">
        <v>680</v>
      </c>
      <c r="M303" s="41">
        <v>0.9</v>
      </c>
      <c r="N303" s="44"/>
    </row>
    <row r="304" customHeight="1" spans="1:14">
      <c r="A304" s="38">
        <v>993</v>
      </c>
      <c r="B304" s="39" t="s">
        <v>838</v>
      </c>
      <c r="C304" s="39" t="s">
        <v>674</v>
      </c>
      <c r="D304" s="39" t="s">
        <v>645</v>
      </c>
      <c r="E304" s="39" t="s">
        <v>657</v>
      </c>
      <c r="F304" s="39" t="s">
        <v>1182</v>
      </c>
      <c r="G304" s="39" t="s">
        <v>652</v>
      </c>
      <c r="H304" s="39" t="s">
        <v>722</v>
      </c>
      <c r="I304" s="39" t="s">
        <v>708</v>
      </c>
      <c r="J304" s="39" t="s">
        <v>678</v>
      </c>
      <c r="K304" s="39" t="s">
        <v>679</v>
      </c>
      <c r="L304" s="39" t="s">
        <v>743</v>
      </c>
      <c r="M304" s="39">
        <v>0</v>
      </c>
      <c r="N304" s="43"/>
    </row>
    <row r="305" customHeight="1" spans="1:14">
      <c r="A305" s="40">
        <v>994</v>
      </c>
      <c r="B305" s="41" t="s">
        <v>1118</v>
      </c>
      <c r="C305" s="41" t="s">
        <v>691</v>
      </c>
      <c r="D305" s="41" t="s">
        <v>640</v>
      </c>
      <c r="E305" s="41" t="s">
        <v>658</v>
      </c>
      <c r="F305" s="41" t="s">
        <v>1183</v>
      </c>
      <c r="G305" s="41" t="s">
        <v>653</v>
      </c>
      <c r="H305" s="41" t="s">
        <v>707</v>
      </c>
      <c r="I305" s="41" t="s">
        <v>677</v>
      </c>
      <c r="J305" s="41" t="s">
        <v>678</v>
      </c>
      <c r="K305" s="41" t="s">
        <v>679</v>
      </c>
      <c r="L305" s="41" t="s">
        <v>719</v>
      </c>
      <c r="M305" s="41">
        <v>0</v>
      </c>
      <c r="N305" s="44"/>
    </row>
    <row r="306" customHeight="1" spans="1:14">
      <c r="A306" s="38">
        <v>995</v>
      </c>
      <c r="B306" s="39" t="s">
        <v>1184</v>
      </c>
      <c r="C306" s="39" t="s">
        <v>674</v>
      </c>
      <c r="D306" s="39" t="s">
        <v>641</v>
      </c>
      <c r="E306" s="39" t="s">
        <v>657</v>
      </c>
      <c r="F306" s="39" t="s">
        <v>1185</v>
      </c>
      <c r="G306" s="39" t="s">
        <v>652</v>
      </c>
      <c r="H306" s="39" t="s">
        <v>687</v>
      </c>
      <c r="I306" s="39" t="s">
        <v>708</v>
      </c>
      <c r="J306" s="39" t="s">
        <v>678</v>
      </c>
      <c r="K306" s="39" t="s">
        <v>701</v>
      </c>
      <c r="L306" s="39" t="s">
        <v>680</v>
      </c>
      <c r="M306" s="39">
        <v>0.9</v>
      </c>
      <c r="N306" s="43"/>
    </row>
    <row r="307" customHeight="1" spans="1:14">
      <c r="A307" s="40">
        <v>996</v>
      </c>
      <c r="B307" s="41" t="s">
        <v>1186</v>
      </c>
      <c r="C307" s="41" t="s">
        <v>691</v>
      </c>
      <c r="D307" s="41" t="s">
        <v>642</v>
      </c>
      <c r="E307" s="41" t="s">
        <v>658</v>
      </c>
      <c r="F307" s="41" t="s">
        <v>1187</v>
      </c>
      <c r="G307" s="41" t="s">
        <v>652</v>
      </c>
      <c r="H307" s="41" t="s">
        <v>676</v>
      </c>
      <c r="I307" s="41" t="s">
        <v>677</v>
      </c>
      <c r="J307" s="41" t="s">
        <v>709</v>
      </c>
      <c r="K307" s="41" t="s">
        <v>689</v>
      </c>
      <c r="L307" s="41" t="s">
        <v>743</v>
      </c>
      <c r="M307" s="41">
        <v>0</v>
      </c>
      <c r="N307" s="44"/>
    </row>
    <row r="308" customHeight="1" spans="1:14">
      <c r="A308" s="38">
        <v>997</v>
      </c>
      <c r="B308" s="39" t="s">
        <v>1188</v>
      </c>
      <c r="C308" s="39" t="s">
        <v>674</v>
      </c>
      <c r="D308" s="39" t="s">
        <v>646</v>
      </c>
      <c r="E308" s="39" t="s">
        <v>658</v>
      </c>
      <c r="F308" s="39" t="s">
        <v>1189</v>
      </c>
      <c r="G308" s="39" t="s">
        <v>653</v>
      </c>
      <c r="H308" s="39" t="s">
        <v>727</v>
      </c>
      <c r="I308" s="39" t="s">
        <v>708</v>
      </c>
      <c r="J308" s="39" t="s">
        <v>709</v>
      </c>
      <c r="K308" s="39" t="s">
        <v>710</v>
      </c>
      <c r="L308" s="39" t="s">
        <v>743</v>
      </c>
      <c r="M308" s="39">
        <v>0</v>
      </c>
      <c r="N308" s="43"/>
    </row>
    <row r="309" customHeight="1" spans="1:14">
      <c r="A309" s="40">
        <v>998</v>
      </c>
      <c r="B309" s="41" t="s">
        <v>784</v>
      </c>
      <c r="C309" s="41" t="s">
        <v>691</v>
      </c>
      <c r="D309" s="41" t="s">
        <v>641</v>
      </c>
      <c r="E309" s="41" t="s">
        <v>658</v>
      </c>
      <c r="F309" s="41" t="s">
        <v>1190</v>
      </c>
      <c r="G309" s="41" t="s">
        <v>654</v>
      </c>
      <c r="H309" s="41" t="s">
        <v>687</v>
      </c>
      <c r="I309" s="41" t="s">
        <v>693</v>
      </c>
      <c r="J309" s="41" t="s">
        <v>678</v>
      </c>
      <c r="K309" s="41" t="s">
        <v>732</v>
      </c>
      <c r="L309" s="41" t="s">
        <v>719</v>
      </c>
      <c r="M309" s="41">
        <v>0</v>
      </c>
      <c r="N309" s="44"/>
    </row>
    <row r="310" customHeight="1" spans="1:14">
      <c r="A310" s="38">
        <v>999</v>
      </c>
      <c r="B310" s="39" t="s">
        <v>1176</v>
      </c>
      <c r="C310" s="39" t="s">
        <v>691</v>
      </c>
      <c r="D310" s="39" t="s">
        <v>644</v>
      </c>
      <c r="E310" s="39" t="s">
        <v>658</v>
      </c>
      <c r="F310" s="39" t="s">
        <v>1191</v>
      </c>
      <c r="G310" s="39" t="s">
        <v>655</v>
      </c>
      <c r="H310" s="39" t="s">
        <v>707</v>
      </c>
      <c r="I310" s="39" t="s">
        <v>677</v>
      </c>
      <c r="J310" s="39" t="s">
        <v>709</v>
      </c>
      <c r="K310" s="39" t="s">
        <v>732</v>
      </c>
      <c r="L310" s="39" t="s">
        <v>719</v>
      </c>
      <c r="M310" s="39">
        <v>0</v>
      </c>
      <c r="N310" s="43"/>
    </row>
    <row r="311" customHeight="1" spans="1:14">
      <c r="A311" s="40">
        <v>1000</v>
      </c>
      <c r="B311" s="41" t="s">
        <v>1018</v>
      </c>
      <c r="C311" s="41" t="s">
        <v>674</v>
      </c>
      <c r="D311" s="41" t="s">
        <v>640</v>
      </c>
      <c r="E311" s="41" t="s">
        <v>658</v>
      </c>
      <c r="F311" s="41" t="s">
        <v>1192</v>
      </c>
      <c r="G311" s="41" t="s">
        <v>655</v>
      </c>
      <c r="H311" s="41" t="s">
        <v>676</v>
      </c>
      <c r="I311" s="41" t="s">
        <v>677</v>
      </c>
      <c r="J311" s="41" t="s">
        <v>678</v>
      </c>
      <c r="K311" s="41" t="s">
        <v>689</v>
      </c>
      <c r="L311" s="41" t="s">
        <v>680</v>
      </c>
      <c r="M311" s="41">
        <v>0.9</v>
      </c>
      <c r="N311" s="44"/>
    </row>
    <row r="312" customHeight="1" spans="1:14">
      <c r="A312" s="38">
        <v>1001</v>
      </c>
      <c r="B312" s="39" t="s">
        <v>991</v>
      </c>
      <c r="C312" s="39" t="s">
        <v>674</v>
      </c>
      <c r="D312" s="39" t="s">
        <v>647</v>
      </c>
      <c r="E312" s="39" t="s">
        <v>658</v>
      </c>
      <c r="F312" s="39" t="s">
        <v>1193</v>
      </c>
      <c r="G312" s="39" t="s">
        <v>652</v>
      </c>
      <c r="H312" s="39" t="s">
        <v>683</v>
      </c>
      <c r="I312" s="39" t="s">
        <v>693</v>
      </c>
      <c r="J312" s="39" t="s">
        <v>678</v>
      </c>
      <c r="K312" s="39" t="s">
        <v>679</v>
      </c>
      <c r="L312" s="39" t="s">
        <v>715</v>
      </c>
      <c r="M312" s="39">
        <v>0</v>
      </c>
      <c r="N312" s="43"/>
    </row>
    <row r="313" customHeight="1" spans="1:14">
      <c r="A313" s="40">
        <v>1002</v>
      </c>
      <c r="B313" s="41" t="s">
        <v>919</v>
      </c>
      <c r="C313" s="41" t="s">
        <v>674</v>
      </c>
      <c r="D313" s="41" t="s">
        <v>646</v>
      </c>
      <c r="E313" s="41" t="s">
        <v>657</v>
      </c>
      <c r="F313" s="41" t="s">
        <v>1194</v>
      </c>
      <c r="G313" s="41" t="s">
        <v>652</v>
      </c>
      <c r="H313" s="41" t="s">
        <v>727</v>
      </c>
      <c r="I313" s="41" t="s">
        <v>677</v>
      </c>
      <c r="J313" s="41" t="s">
        <v>709</v>
      </c>
      <c r="K313" s="41" t="s">
        <v>732</v>
      </c>
      <c r="L313" s="41" t="s">
        <v>719</v>
      </c>
      <c r="M313" s="41">
        <v>0</v>
      </c>
      <c r="N313" s="44"/>
    </row>
    <row r="314" customHeight="1" spans="1:14">
      <c r="A314" s="38">
        <v>1003</v>
      </c>
      <c r="B314" s="39" t="s">
        <v>1195</v>
      </c>
      <c r="C314" s="39" t="s">
        <v>691</v>
      </c>
      <c r="D314" s="39" t="s">
        <v>640</v>
      </c>
      <c r="E314" s="39" t="s">
        <v>651</v>
      </c>
      <c r="F314" s="39" t="s">
        <v>1196</v>
      </c>
      <c r="G314" s="39" t="s">
        <v>653</v>
      </c>
      <c r="H314" s="39" t="s">
        <v>718</v>
      </c>
      <c r="I314" s="39" t="s">
        <v>688</v>
      </c>
      <c r="J314" s="39" t="s">
        <v>678</v>
      </c>
      <c r="K314" s="39" t="s">
        <v>732</v>
      </c>
      <c r="L314" s="39" t="s">
        <v>743</v>
      </c>
      <c r="M314" s="39">
        <v>0</v>
      </c>
      <c r="N314" s="43"/>
    </row>
    <row r="315" customHeight="1" spans="1:14">
      <c r="A315" s="40">
        <v>1004</v>
      </c>
      <c r="B315" s="41" t="s">
        <v>1197</v>
      </c>
      <c r="C315" s="41" t="s">
        <v>691</v>
      </c>
      <c r="D315" s="41" t="s">
        <v>638</v>
      </c>
      <c r="E315" s="41" t="s">
        <v>657</v>
      </c>
      <c r="F315" s="41" t="s">
        <v>1198</v>
      </c>
      <c r="G315" s="41" t="s">
        <v>653</v>
      </c>
      <c r="H315" s="41" t="s">
        <v>727</v>
      </c>
      <c r="I315" s="41" t="s">
        <v>708</v>
      </c>
      <c r="J315" s="41" t="s">
        <v>709</v>
      </c>
      <c r="K315" s="41" t="s">
        <v>732</v>
      </c>
      <c r="L315" s="41" t="s">
        <v>684</v>
      </c>
      <c r="M315" s="41">
        <v>0.85</v>
      </c>
      <c r="N315" s="44"/>
    </row>
    <row r="316" customHeight="1" spans="1:14">
      <c r="A316" s="38">
        <v>1005</v>
      </c>
      <c r="B316" s="39" t="s">
        <v>802</v>
      </c>
      <c r="C316" s="39" t="s">
        <v>691</v>
      </c>
      <c r="D316" s="39" t="s">
        <v>647</v>
      </c>
      <c r="E316" s="39" t="s">
        <v>657</v>
      </c>
      <c r="F316" s="39" t="s">
        <v>1199</v>
      </c>
      <c r="G316" s="39" t="s">
        <v>655</v>
      </c>
      <c r="H316" s="39" t="s">
        <v>683</v>
      </c>
      <c r="I316" s="39" t="s">
        <v>688</v>
      </c>
      <c r="J316" s="39" t="s">
        <v>678</v>
      </c>
      <c r="K316" s="39" t="s">
        <v>694</v>
      </c>
      <c r="L316" s="39" t="s">
        <v>719</v>
      </c>
      <c r="M316" s="39">
        <v>0</v>
      </c>
      <c r="N316" s="43"/>
    </row>
    <row r="317" customHeight="1" spans="1:14">
      <c r="A317" s="40">
        <v>1006</v>
      </c>
      <c r="B317" s="41" t="s">
        <v>730</v>
      </c>
      <c r="C317" s="41" t="s">
        <v>691</v>
      </c>
      <c r="D317" s="41" t="s">
        <v>642</v>
      </c>
      <c r="E317" s="41" t="s">
        <v>658</v>
      </c>
      <c r="F317" s="41" t="s">
        <v>1200</v>
      </c>
      <c r="G317" s="41" t="s">
        <v>653</v>
      </c>
      <c r="H317" s="41" t="s">
        <v>727</v>
      </c>
      <c r="I317" s="41" t="s">
        <v>700</v>
      </c>
      <c r="J317" s="41" t="s">
        <v>709</v>
      </c>
      <c r="K317" s="41" t="s">
        <v>732</v>
      </c>
      <c r="L317" s="41" t="s">
        <v>680</v>
      </c>
      <c r="M317" s="41">
        <v>0.9</v>
      </c>
      <c r="N317" s="44"/>
    </row>
    <row r="318" customHeight="1" spans="1:14">
      <c r="A318" s="38">
        <v>1007</v>
      </c>
      <c r="B318" s="39" t="s">
        <v>1156</v>
      </c>
      <c r="C318" s="39" t="s">
        <v>674</v>
      </c>
      <c r="D318" s="39" t="s">
        <v>645</v>
      </c>
      <c r="E318" s="39" t="s">
        <v>658</v>
      </c>
      <c r="F318" s="39" t="s">
        <v>1201</v>
      </c>
      <c r="G318" s="39" t="s">
        <v>652</v>
      </c>
      <c r="H318" s="39" t="s">
        <v>727</v>
      </c>
      <c r="I318" s="39" t="s">
        <v>708</v>
      </c>
      <c r="J318" s="39" t="s">
        <v>709</v>
      </c>
      <c r="K318" s="39" t="s">
        <v>732</v>
      </c>
      <c r="L318" s="39" t="s">
        <v>684</v>
      </c>
      <c r="M318" s="39">
        <v>0.85</v>
      </c>
      <c r="N318" s="43"/>
    </row>
    <row r="319" customHeight="1" spans="1:14">
      <c r="A319" s="40">
        <v>1008</v>
      </c>
      <c r="B319" s="41" t="s">
        <v>1202</v>
      </c>
      <c r="C319" s="41" t="s">
        <v>691</v>
      </c>
      <c r="D319" s="41" t="s">
        <v>642</v>
      </c>
      <c r="E319" s="41" t="s">
        <v>658</v>
      </c>
      <c r="F319" s="41" t="s">
        <v>1203</v>
      </c>
      <c r="G319" s="41" t="s">
        <v>655</v>
      </c>
      <c r="H319" s="41" t="s">
        <v>707</v>
      </c>
      <c r="I319" s="41" t="s">
        <v>693</v>
      </c>
      <c r="J319" s="41" t="s">
        <v>678</v>
      </c>
      <c r="K319" s="41" t="s">
        <v>701</v>
      </c>
      <c r="L319" s="41" t="s">
        <v>715</v>
      </c>
      <c r="M319" s="41">
        <v>0</v>
      </c>
      <c r="N319" s="44"/>
    </row>
    <row r="320" customHeight="1" spans="1:14">
      <c r="A320" s="38">
        <v>1009</v>
      </c>
      <c r="B320" s="39" t="s">
        <v>892</v>
      </c>
      <c r="C320" s="39" t="s">
        <v>691</v>
      </c>
      <c r="D320" s="39" t="s">
        <v>642</v>
      </c>
      <c r="E320" s="39" t="s">
        <v>658</v>
      </c>
      <c r="F320" s="39" t="s">
        <v>1204</v>
      </c>
      <c r="G320" s="39" t="s">
        <v>652</v>
      </c>
      <c r="H320" s="39" t="s">
        <v>676</v>
      </c>
      <c r="I320" s="39" t="s">
        <v>700</v>
      </c>
      <c r="J320" s="39" t="s">
        <v>709</v>
      </c>
      <c r="K320" s="39" t="s">
        <v>689</v>
      </c>
      <c r="L320" s="39" t="s">
        <v>715</v>
      </c>
      <c r="M320" s="39">
        <v>0</v>
      </c>
      <c r="N320" s="43"/>
    </row>
    <row r="321" customHeight="1" spans="1:14">
      <c r="A321" s="40">
        <v>1010</v>
      </c>
      <c r="B321" s="41" t="s">
        <v>923</v>
      </c>
      <c r="C321" s="41" t="s">
        <v>674</v>
      </c>
      <c r="D321" s="41" t="s">
        <v>641</v>
      </c>
      <c r="E321" s="41" t="s">
        <v>658</v>
      </c>
      <c r="F321" s="41" t="s">
        <v>1205</v>
      </c>
      <c r="G321" s="41" t="s">
        <v>654</v>
      </c>
      <c r="H321" s="41" t="s">
        <v>707</v>
      </c>
      <c r="I321" s="41" t="s">
        <v>708</v>
      </c>
      <c r="J321" s="41" t="s">
        <v>678</v>
      </c>
      <c r="K321" s="41" t="s">
        <v>710</v>
      </c>
      <c r="L321" s="41" t="s">
        <v>684</v>
      </c>
      <c r="M321" s="41">
        <v>0.85</v>
      </c>
      <c r="N321" s="44"/>
    </row>
    <row r="322" customHeight="1" spans="1:14">
      <c r="A322" s="38">
        <v>1011</v>
      </c>
      <c r="B322" s="39" t="s">
        <v>975</v>
      </c>
      <c r="C322" s="39" t="s">
        <v>691</v>
      </c>
      <c r="D322" s="39" t="s">
        <v>647</v>
      </c>
      <c r="E322" s="39" t="s">
        <v>657</v>
      </c>
      <c r="F322" s="39" t="s">
        <v>1206</v>
      </c>
      <c r="G322" s="39" t="s">
        <v>652</v>
      </c>
      <c r="H322" s="39" t="s">
        <v>718</v>
      </c>
      <c r="I322" s="39" t="s">
        <v>677</v>
      </c>
      <c r="J322" s="39" t="s">
        <v>709</v>
      </c>
      <c r="K322" s="39" t="s">
        <v>732</v>
      </c>
      <c r="L322" s="39" t="s">
        <v>743</v>
      </c>
      <c r="M322" s="39">
        <v>0</v>
      </c>
      <c r="N322" s="43"/>
    </row>
    <row r="323" customHeight="1" spans="1:14">
      <c r="A323" s="40">
        <v>1012</v>
      </c>
      <c r="B323" s="41" t="s">
        <v>923</v>
      </c>
      <c r="C323" s="41" t="s">
        <v>674</v>
      </c>
      <c r="D323" s="41" t="s">
        <v>641</v>
      </c>
      <c r="E323" s="41" t="s">
        <v>658</v>
      </c>
      <c r="F323" s="41" t="s">
        <v>1207</v>
      </c>
      <c r="G323" s="41" t="s">
        <v>652</v>
      </c>
      <c r="H323" s="41" t="s">
        <v>707</v>
      </c>
      <c r="I323" s="41" t="s">
        <v>700</v>
      </c>
      <c r="J323" s="41" t="s">
        <v>678</v>
      </c>
      <c r="K323" s="41" t="s">
        <v>710</v>
      </c>
      <c r="L323" s="41" t="s">
        <v>684</v>
      </c>
      <c r="M323" s="41">
        <v>0.85</v>
      </c>
      <c r="N323" s="44"/>
    </row>
    <row r="324" customHeight="1" spans="1:14">
      <c r="A324" s="38">
        <v>1013</v>
      </c>
      <c r="B324" s="39" t="s">
        <v>1208</v>
      </c>
      <c r="C324" s="39" t="s">
        <v>691</v>
      </c>
      <c r="D324" s="39" t="s">
        <v>644</v>
      </c>
      <c r="E324" s="39" t="s">
        <v>657</v>
      </c>
      <c r="F324" s="39" t="s">
        <v>1209</v>
      </c>
      <c r="G324" s="39" t="s">
        <v>653</v>
      </c>
      <c r="H324" s="39" t="s">
        <v>727</v>
      </c>
      <c r="I324" s="39" t="s">
        <v>700</v>
      </c>
      <c r="J324" s="39" t="s">
        <v>709</v>
      </c>
      <c r="K324" s="39" t="s">
        <v>710</v>
      </c>
      <c r="L324" s="39" t="s">
        <v>684</v>
      </c>
      <c r="M324" s="39">
        <v>0.85</v>
      </c>
      <c r="N324" s="43"/>
    </row>
    <row r="325" customHeight="1" spans="1:14">
      <c r="A325" s="40">
        <v>1014</v>
      </c>
      <c r="B325" s="41" t="s">
        <v>1210</v>
      </c>
      <c r="C325" s="41" t="s">
        <v>691</v>
      </c>
      <c r="D325" s="41" t="s">
        <v>639</v>
      </c>
      <c r="E325" s="41" t="s">
        <v>658</v>
      </c>
      <c r="F325" s="41" t="s">
        <v>1211</v>
      </c>
      <c r="G325" s="41" t="s">
        <v>654</v>
      </c>
      <c r="H325" s="41" t="s">
        <v>707</v>
      </c>
      <c r="I325" s="41" t="s">
        <v>700</v>
      </c>
      <c r="J325" s="41" t="s">
        <v>678</v>
      </c>
      <c r="K325" s="41" t="s">
        <v>701</v>
      </c>
      <c r="L325" s="41" t="s">
        <v>715</v>
      </c>
      <c r="M325" s="41">
        <v>0</v>
      </c>
      <c r="N325" s="44"/>
    </row>
    <row r="326" customHeight="1" spans="1:14">
      <c r="A326" s="38">
        <v>1015</v>
      </c>
      <c r="B326" s="39" t="s">
        <v>1120</v>
      </c>
      <c r="C326" s="39" t="s">
        <v>674</v>
      </c>
      <c r="D326" s="39" t="s">
        <v>641</v>
      </c>
      <c r="E326" s="39" t="s">
        <v>657</v>
      </c>
      <c r="F326" s="39" t="s">
        <v>1212</v>
      </c>
      <c r="G326" s="39" t="s">
        <v>655</v>
      </c>
      <c r="H326" s="39" t="s">
        <v>718</v>
      </c>
      <c r="I326" s="39" t="s">
        <v>700</v>
      </c>
      <c r="J326" s="39" t="s">
        <v>678</v>
      </c>
      <c r="K326" s="39" t="s">
        <v>689</v>
      </c>
      <c r="L326" s="39" t="s">
        <v>695</v>
      </c>
      <c r="M326" s="39">
        <v>0.6</v>
      </c>
      <c r="N326" s="43"/>
    </row>
    <row r="327" customHeight="1" spans="1:14">
      <c r="A327" s="40">
        <v>1016</v>
      </c>
      <c r="B327" s="41" t="s">
        <v>1213</v>
      </c>
      <c r="C327" s="41" t="s">
        <v>691</v>
      </c>
      <c r="D327" s="41" t="s">
        <v>642</v>
      </c>
      <c r="E327" s="41" t="s">
        <v>658</v>
      </c>
      <c r="F327" s="41" t="s">
        <v>1214</v>
      </c>
      <c r="G327" s="41" t="s">
        <v>654</v>
      </c>
      <c r="H327" s="41" t="s">
        <v>676</v>
      </c>
      <c r="I327" s="41" t="s">
        <v>693</v>
      </c>
      <c r="J327" s="41" t="s">
        <v>678</v>
      </c>
      <c r="K327" s="41" t="s">
        <v>689</v>
      </c>
      <c r="L327" s="41" t="s">
        <v>680</v>
      </c>
      <c r="M327" s="41">
        <v>0.9</v>
      </c>
      <c r="N327" s="44"/>
    </row>
    <row r="328" customHeight="1" spans="1:14">
      <c r="A328" s="38">
        <v>1017</v>
      </c>
      <c r="B328" s="39" t="s">
        <v>1215</v>
      </c>
      <c r="C328" s="39" t="s">
        <v>691</v>
      </c>
      <c r="D328" s="39" t="s">
        <v>639</v>
      </c>
      <c r="E328" s="39" t="s">
        <v>657</v>
      </c>
      <c r="F328" s="39" t="s">
        <v>1216</v>
      </c>
      <c r="G328" s="39" t="s">
        <v>652</v>
      </c>
      <c r="H328" s="39" t="s">
        <v>707</v>
      </c>
      <c r="I328" s="39" t="s">
        <v>688</v>
      </c>
      <c r="J328" s="39" t="s">
        <v>709</v>
      </c>
      <c r="K328" s="39" t="s">
        <v>689</v>
      </c>
      <c r="L328" s="39" t="s">
        <v>695</v>
      </c>
      <c r="M328" s="39">
        <v>0.6</v>
      </c>
      <c r="N328" s="43"/>
    </row>
    <row r="329" customHeight="1" spans="1:14">
      <c r="A329" s="40">
        <v>1018</v>
      </c>
      <c r="B329" s="41" t="s">
        <v>1099</v>
      </c>
      <c r="C329" s="41" t="s">
        <v>674</v>
      </c>
      <c r="D329" s="41" t="s">
        <v>647</v>
      </c>
      <c r="E329" s="41" t="s">
        <v>657</v>
      </c>
      <c r="F329" s="41" t="s">
        <v>1217</v>
      </c>
      <c r="G329" s="41" t="s">
        <v>654</v>
      </c>
      <c r="H329" s="41" t="s">
        <v>683</v>
      </c>
      <c r="I329" s="41" t="s">
        <v>677</v>
      </c>
      <c r="J329" s="41" t="s">
        <v>678</v>
      </c>
      <c r="K329" s="41" t="s">
        <v>689</v>
      </c>
      <c r="L329" s="41" t="s">
        <v>684</v>
      </c>
      <c r="M329" s="41">
        <v>0.85</v>
      </c>
      <c r="N329" s="44"/>
    </row>
    <row r="330" customHeight="1" spans="1:14">
      <c r="A330" s="38">
        <v>1019</v>
      </c>
      <c r="B330" s="39" t="s">
        <v>964</v>
      </c>
      <c r="C330" s="39" t="s">
        <v>691</v>
      </c>
      <c r="D330" s="39" t="s">
        <v>640</v>
      </c>
      <c r="E330" s="39" t="s">
        <v>657</v>
      </c>
      <c r="F330" s="39" t="s">
        <v>1218</v>
      </c>
      <c r="G330" s="39" t="s">
        <v>653</v>
      </c>
      <c r="H330" s="39" t="s">
        <v>683</v>
      </c>
      <c r="I330" s="39" t="s">
        <v>688</v>
      </c>
      <c r="J330" s="39" t="s">
        <v>709</v>
      </c>
      <c r="K330" s="39" t="s">
        <v>694</v>
      </c>
      <c r="L330" s="39" t="s">
        <v>680</v>
      </c>
      <c r="M330" s="39">
        <v>0.9</v>
      </c>
      <c r="N330" s="43"/>
    </row>
    <row r="331" customHeight="1" spans="1:14">
      <c r="A331" s="40">
        <v>1020</v>
      </c>
      <c r="B331" s="41" t="s">
        <v>827</v>
      </c>
      <c r="C331" s="41" t="s">
        <v>674</v>
      </c>
      <c r="D331" s="41" t="s">
        <v>642</v>
      </c>
      <c r="E331" s="41" t="s">
        <v>658</v>
      </c>
      <c r="F331" s="41" t="s">
        <v>1219</v>
      </c>
      <c r="G331" s="41" t="s">
        <v>656</v>
      </c>
      <c r="H331" s="41" t="s">
        <v>676</v>
      </c>
      <c r="I331" s="41" t="s">
        <v>700</v>
      </c>
      <c r="J331" s="41" t="s">
        <v>678</v>
      </c>
      <c r="K331" s="41" t="s">
        <v>710</v>
      </c>
      <c r="L331" s="41" t="s">
        <v>743</v>
      </c>
      <c r="M331" s="41">
        <v>0</v>
      </c>
      <c r="N331" s="44"/>
    </row>
    <row r="332" customHeight="1" spans="1:14">
      <c r="A332" s="38">
        <v>1021</v>
      </c>
      <c r="B332" s="39" t="s">
        <v>933</v>
      </c>
      <c r="C332" s="39" t="s">
        <v>691</v>
      </c>
      <c r="D332" s="39" t="s">
        <v>647</v>
      </c>
      <c r="E332" s="39" t="s">
        <v>658</v>
      </c>
      <c r="F332" s="39" t="s">
        <v>1220</v>
      </c>
      <c r="G332" s="39" t="s">
        <v>652</v>
      </c>
      <c r="H332" s="39" t="s">
        <v>687</v>
      </c>
      <c r="I332" s="39" t="s">
        <v>700</v>
      </c>
      <c r="J332" s="39" t="s">
        <v>678</v>
      </c>
      <c r="K332" s="39" t="s">
        <v>732</v>
      </c>
      <c r="L332" s="39" t="s">
        <v>743</v>
      </c>
      <c r="M332" s="39">
        <v>0</v>
      </c>
      <c r="N332" s="43"/>
    </row>
    <row r="333" customHeight="1" spans="1:14">
      <c r="A333" s="40">
        <v>1022</v>
      </c>
      <c r="B333" s="41" t="s">
        <v>798</v>
      </c>
      <c r="C333" s="41" t="s">
        <v>691</v>
      </c>
      <c r="D333" s="41" t="s">
        <v>642</v>
      </c>
      <c r="E333" s="41" t="s">
        <v>658</v>
      </c>
      <c r="F333" s="41" t="s">
        <v>1221</v>
      </c>
      <c r="G333" s="41" t="s">
        <v>652</v>
      </c>
      <c r="H333" s="41" t="s">
        <v>727</v>
      </c>
      <c r="I333" s="41" t="s">
        <v>677</v>
      </c>
      <c r="J333" s="41" t="s">
        <v>678</v>
      </c>
      <c r="K333" s="41" t="s">
        <v>689</v>
      </c>
      <c r="L333" s="41" t="s">
        <v>743</v>
      </c>
      <c r="M333" s="41">
        <v>0</v>
      </c>
      <c r="N333" s="44"/>
    </row>
    <row r="334" customHeight="1" spans="1:14">
      <c r="A334" s="38">
        <v>1023</v>
      </c>
      <c r="B334" s="39" t="s">
        <v>927</v>
      </c>
      <c r="C334" s="39" t="s">
        <v>691</v>
      </c>
      <c r="D334" s="39" t="s">
        <v>641</v>
      </c>
      <c r="E334" s="39" t="s">
        <v>657</v>
      </c>
      <c r="F334" s="39" t="s">
        <v>1222</v>
      </c>
      <c r="G334" s="39" t="s">
        <v>654</v>
      </c>
      <c r="H334" s="39" t="s">
        <v>727</v>
      </c>
      <c r="I334" s="39" t="s">
        <v>700</v>
      </c>
      <c r="J334" s="39" t="s">
        <v>678</v>
      </c>
      <c r="K334" s="39" t="s">
        <v>694</v>
      </c>
      <c r="L334" s="39" t="s">
        <v>680</v>
      </c>
      <c r="M334" s="39">
        <v>0.9</v>
      </c>
      <c r="N334" s="43"/>
    </row>
    <row r="335" customHeight="1" spans="1:14">
      <c r="A335" s="40">
        <v>1024</v>
      </c>
      <c r="B335" s="41" t="s">
        <v>1223</v>
      </c>
      <c r="C335" s="41" t="s">
        <v>691</v>
      </c>
      <c r="D335" s="41" t="s">
        <v>647</v>
      </c>
      <c r="E335" s="41" t="s">
        <v>651</v>
      </c>
      <c r="F335" s="41" t="s">
        <v>1224</v>
      </c>
      <c r="G335" s="41" t="s">
        <v>652</v>
      </c>
      <c r="H335" s="41" t="s">
        <v>727</v>
      </c>
      <c r="I335" s="41" t="s">
        <v>693</v>
      </c>
      <c r="J335" s="41" t="s">
        <v>709</v>
      </c>
      <c r="K335" s="41" t="s">
        <v>701</v>
      </c>
      <c r="L335" s="41" t="s">
        <v>715</v>
      </c>
      <c r="M335" s="41">
        <v>0</v>
      </c>
      <c r="N335" s="44"/>
    </row>
    <row r="336" customHeight="1" spans="1:14">
      <c r="A336" s="38">
        <v>1025</v>
      </c>
      <c r="B336" s="39" t="s">
        <v>1225</v>
      </c>
      <c r="C336" s="39" t="s">
        <v>691</v>
      </c>
      <c r="D336" s="39" t="s">
        <v>641</v>
      </c>
      <c r="E336" s="39" t="s">
        <v>658</v>
      </c>
      <c r="F336" s="39" t="s">
        <v>1226</v>
      </c>
      <c r="G336" s="39" t="s">
        <v>654</v>
      </c>
      <c r="H336" s="39" t="s">
        <v>683</v>
      </c>
      <c r="I336" s="39" t="s">
        <v>677</v>
      </c>
      <c r="J336" s="39" t="s">
        <v>678</v>
      </c>
      <c r="K336" s="39" t="s">
        <v>689</v>
      </c>
      <c r="L336" s="39" t="s">
        <v>695</v>
      </c>
      <c r="M336" s="39">
        <v>0.6</v>
      </c>
      <c r="N336" s="43"/>
    </row>
    <row r="337" customHeight="1" spans="1:14">
      <c r="A337" s="40">
        <v>1026</v>
      </c>
      <c r="B337" s="41" t="s">
        <v>915</v>
      </c>
      <c r="C337" s="41" t="s">
        <v>691</v>
      </c>
      <c r="D337" s="41" t="s">
        <v>639</v>
      </c>
      <c r="E337" s="41" t="s">
        <v>658</v>
      </c>
      <c r="F337" s="41" t="s">
        <v>1227</v>
      </c>
      <c r="G337" s="41" t="s">
        <v>653</v>
      </c>
      <c r="H337" s="41" t="s">
        <v>722</v>
      </c>
      <c r="I337" s="41" t="s">
        <v>700</v>
      </c>
      <c r="J337" s="41" t="s">
        <v>678</v>
      </c>
      <c r="K337" s="41" t="s">
        <v>732</v>
      </c>
      <c r="L337" s="41" t="s">
        <v>684</v>
      </c>
      <c r="M337" s="41">
        <v>0.85</v>
      </c>
      <c r="N337" s="44"/>
    </row>
    <row r="338" customHeight="1" spans="1:14">
      <c r="A338" s="38">
        <v>1027</v>
      </c>
      <c r="B338" s="39" t="s">
        <v>794</v>
      </c>
      <c r="C338" s="39" t="s">
        <v>674</v>
      </c>
      <c r="D338" s="39" t="s">
        <v>647</v>
      </c>
      <c r="E338" s="39" t="s">
        <v>657</v>
      </c>
      <c r="F338" s="39" t="s">
        <v>1228</v>
      </c>
      <c r="G338" s="39" t="s">
        <v>654</v>
      </c>
      <c r="H338" s="39" t="s">
        <v>718</v>
      </c>
      <c r="I338" s="39" t="s">
        <v>693</v>
      </c>
      <c r="J338" s="39" t="s">
        <v>678</v>
      </c>
      <c r="K338" s="39" t="s">
        <v>694</v>
      </c>
      <c r="L338" s="39" t="s">
        <v>684</v>
      </c>
      <c r="M338" s="39">
        <v>0.85</v>
      </c>
      <c r="N338" s="43"/>
    </row>
    <row r="339" customHeight="1" spans="1:14">
      <c r="A339" s="40">
        <v>1028</v>
      </c>
      <c r="B339" s="41" t="s">
        <v>1229</v>
      </c>
      <c r="C339" s="41" t="s">
        <v>691</v>
      </c>
      <c r="D339" s="41" t="s">
        <v>647</v>
      </c>
      <c r="E339" s="41" t="s">
        <v>658</v>
      </c>
      <c r="F339" s="41" t="s">
        <v>1230</v>
      </c>
      <c r="G339" s="41" t="s">
        <v>652</v>
      </c>
      <c r="H339" s="41" t="s">
        <v>687</v>
      </c>
      <c r="I339" s="41" t="s">
        <v>677</v>
      </c>
      <c r="J339" s="41" t="s">
        <v>678</v>
      </c>
      <c r="K339" s="41" t="s">
        <v>679</v>
      </c>
      <c r="L339" s="41" t="s">
        <v>680</v>
      </c>
      <c r="M339" s="41">
        <v>0.9</v>
      </c>
      <c r="N339" s="44"/>
    </row>
    <row r="340" customHeight="1" spans="1:14">
      <c r="A340" s="38">
        <v>1029</v>
      </c>
      <c r="B340" s="39" t="s">
        <v>864</v>
      </c>
      <c r="C340" s="39" t="s">
        <v>691</v>
      </c>
      <c r="D340" s="39" t="s">
        <v>642</v>
      </c>
      <c r="E340" s="39" t="s">
        <v>658</v>
      </c>
      <c r="F340" s="39" t="s">
        <v>1231</v>
      </c>
      <c r="G340" s="39" t="s">
        <v>655</v>
      </c>
      <c r="H340" s="39" t="s">
        <v>707</v>
      </c>
      <c r="I340" s="39" t="s">
        <v>708</v>
      </c>
      <c r="J340" s="39" t="s">
        <v>678</v>
      </c>
      <c r="K340" s="39" t="s">
        <v>710</v>
      </c>
      <c r="L340" s="39" t="s">
        <v>719</v>
      </c>
      <c r="M340" s="39">
        <v>0</v>
      </c>
      <c r="N340" s="43"/>
    </row>
    <row r="341" customHeight="1" spans="1:14">
      <c r="A341" s="40">
        <v>1030</v>
      </c>
      <c r="B341" s="41" t="s">
        <v>1232</v>
      </c>
      <c r="C341" s="41" t="s">
        <v>691</v>
      </c>
      <c r="D341" s="41" t="s">
        <v>639</v>
      </c>
      <c r="E341" s="41" t="s">
        <v>657</v>
      </c>
      <c r="F341" s="41" t="s">
        <v>1233</v>
      </c>
      <c r="G341" s="41" t="s">
        <v>654</v>
      </c>
      <c r="H341" s="41" t="s">
        <v>683</v>
      </c>
      <c r="I341" s="41" t="s">
        <v>693</v>
      </c>
      <c r="J341" s="41" t="s">
        <v>678</v>
      </c>
      <c r="K341" s="41" t="s">
        <v>701</v>
      </c>
      <c r="L341" s="41" t="s">
        <v>695</v>
      </c>
      <c r="M341" s="41">
        <v>0.6</v>
      </c>
      <c r="N341" s="44"/>
    </row>
    <row r="342" customHeight="1" spans="1:14">
      <c r="A342" s="38">
        <v>1031</v>
      </c>
      <c r="B342" s="39" t="s">
        <v>698</v>
      </c>
      <c r="C342" s="39" t="s">
        <v>691</v>
      </c>
      <c r="D342" s="39" t="s">
        <v>642</v>
      </c>
      <c r="E342" s="39" t="s">
        <v>651</v>
      </c>
      <c r="F342" s="39" t="s">
        <v>1234</v>
      </c>
      <c r="G342" s="39" t="s">
        <v>654</v>
      </c>
      <c r="H342" s="39" t="s">
        <v>727</v>
      </c>
      <c r="I342" s="39" t="s">
        <v>688</v>
      </c>
      <c r="J342" s="39" t="s">
        <v>678</v>
      </c>
      <c r="K342" s="39" t="s">
        <v>701</v>
      </c>
      <c r="L342" s="39" t="s">
        <v>695</v>
      </c>
      <c r="M342" s="39">
        <v>0.6</v>
      </c>
      <c r="N342" s="43"/>
    </row>
    <row r="343" customHeight="1" spans="1:14">
      <c r="A343" s="40">
        <v>1032</v>
      </c>
      <c r="B343" s="41" t="s">
        <v>1099</v>
      </c>
      <c r="C343" s="41" t="s">
        <v>674</v>
      </c>
      <c r="D343" s="41" t="s">
        <v>647</v>
      </c>
      <c r="E343" s="41" t="s">
        <v>657</v>
      </c>
      <c r="F343" s="41" t="s">
        <v>1235</v>
      </c>
      <c r="G343" s="41" t="s">
        <v>653</v>
      </c>
      <c r="H343" s="41" t="s">
        <v>707</v>
      </c>
      <c r="I343" s="41" t="s">
        <v>677</v>
      </c>
      <c r="J343" s="41" t="s">
        <v>678</v>
      </c>
      <c r="K343" s="41" t="s">
        <v>710</v>
      </c>
      <c r="L343" s="41" t="s">
        <v>743</v>
      </c>
      <c r="M343" s="41">
        <v>0</v>
      </c>
      <c r="N343" s="44"/>
    </row>
    <row r="344" customHeight="1" spans="1:14">
      <c r="A344" s="38">
        <v>1033</v>
      </c>
      <c r="B344" s="39" t="s">
        <v>1236</v>
      </c>
      <c r="C344" s="39" t="s">
        <v>703</v>
      </c>
      <c r="D344" s="39" t="s">
        <v>641</v>
      </c>
      <c r="E344" s="39" t="s">
        <v>657</v>
      </c>
      <c r="F344" s="39" t="s">
        <v>1237</v>
      </c>
      <c r="G344" s="39" t="s">
        <v>652</v>
      </c>
      <c r="H344" s="39" t="s">
        <v>707</v>
      </c>
      <c r="I344" s="39" t="s">
        <v>700</v>
      </c>
      <c r="J344" s="39" t="s">
        <v>709</v>
      </c>
      <c r="K344" s="39" t="s">
        <v>679</v>
      </c>
      <c r="L344" s="39" t="s">
        <v>715</v>
      </c>
      <c r="M344" s="39">
        <v>0</v>
      </c>
      <c r="N344" s="43"/>
    </row>
    <row r="345" customHeight="1" spans="1:14">
      <c r="A345" s="40">
        <v>1034</v>
      </c>
      <c r="B345" s="41" t="s">
        <v>1044</v>
      </c>
      <c r="C345" s="41" t="s">
        <v>691</v>
      </c>
      <c r="D345" s="41" t="s">
        <v>639</v>
      </c>
      <c r="E345" s="41" t="s">
        <v>658</v>
      </c>
      <c r="F345" s="41" t="s">
        <v>1238</v>
      </c>
      <c r="G345" s="41" t="s">
        <v>652</v>
      </c>
      <c r="H345" s="41" t="s">
        <v>722</v>
      </c>
      <c r="I345" s="41" t="s">
        <v>677</v>
      </c>
      <c r="J345" s="41" t="s">
        <v>678</v>
      </c>
      <c r="K345" s="41" t="s">
        <v>679</v>
      </c>
      <c r="L345" s="41" t="s">
        <v>715</v>
      </c>
      <c r="M345" s="41">
        <v>0</v>
      </c>
      <c r="N345" s="44"/>
    </row>
    <row r="346" customHeight="1" spans="1:14">
      <c r="A346" s="38">
        <v>1035</v>
      </c>
      <c r="B346" s="39" t="s">
        <v>1239</v>
      </c>
      <c r="C346" s="39" t="s">
        <v>674</v>
      </c>
      <c r="D346" s="39" t="s">
        <v>641</v>
      </c>
      <c r="E346" s="39" t="s">
        <v>657</v>
      </c>
      <c r="F346" s="39" t="s">
        <v>1240</v>
      </c>
      <c r="G346" s="39" t="s">
        <v>655</v>
      </c>
      <c r="H346" s="39" t="s">
        <v>718</v>
      </c>
      <c r="I346" s="39" t="s">
        <v>708</v>
      </c>
      <c r="J346" s="39" t="s">
        <v>678</v>
      </c>
      <c r="K346" s="39" t="s">
        <v>679</v>
      </c>
      <c r="L346" s="39" t="s">
        <v>715</v>
      </c>
      <c r="M346" s="39">
        <v>0</v>
      </c>
      <c r="N346" s="43"/>
    </row>
    <row r="347" customHeight="1" spans="1:14">
      <c r="A347" s="40">
        <v>1036</v>
      </c>
      <c r="B347" s="41" t="s">
        <v>1241</v>
      </c>
      <c r="C347" s="41" t="s">
        <v>691</v>
      </c>
      <c r="D347" s="41" t="s">
        <v>642</v>
      </c>
      <c r="E347" s="41" t="s">
        <v>658</v>
      </c>
      <c r="F347" s="41" t="s">
        <v>1242</v>
      </c>
      <c r="G347" s="41" t="s">
        <v>655</v>
      </c>
      <c r="H347" s="41" t="s">
        <v>707</v>
      </c>
      <c r="I347" s="41" t="s">
        <v>693</v>
      </c>
      <c r="J347" s="41" t="s">
        <v>678</v>
      </c>
      <c r="K347" s="41" t="s">
        <v>694</v>
      </c>
      <c r="L347" s="41" t="s">
        <v>719</v>
      </c>
      <c r="M347" s="41">
        <v>0</v>
      </c>
      <c r="N347" s="44"/>
    </row>
    <row r="348" customHeight="1" spans="1:14">
      <c r="A348" s="38">
        <v>1037</v>
      </c>
      <c r="B348" s="39" t="s">
        <v>1186</v>
      </c>
      <c r="C348" s="39" t="s">
        <v>691</v>
      </c>
      <c r="D348" s="39" t="s">
        <v>642</v>
      </c>
      <c r="E348" s="39" t="s">
        <v>658</v>
      </c>
      <c r="F348" s="39" t="s">
        <v>1243</v>
      </c>
      <c r="G348" s="39" t="s">
        <v>653</v>
      </c>
      <c r="H348" s="39" t="s">
        <v>687</v>
      </c>
      <c r="I348" s="39" t="s">
        <v>688</v>
      </c>
      <c r="J348" s="39" t="s">
        <v>709</v>
      </c>
      <c r="K348" s="39" t="s">
        <v>679</v>
      </c>
      <c r="L348" s="39" t="s">
        <v>743</v>
      </c>
      <c r="M348" s="39">
        <v>0</v>
      </c>
      <c r="N348" s="43"/>
    </row>
    <row r="349" customHeight="1" spans="1:14">
      <c r="A349" s="40">
        <v>1038</v>
      </c>
      <c r="B349" s="41" t="s">
        <v>1184</v>
      </c>
      <c r="C349" s="41" t="s">
        <v>674</v>
      </c>
      <c r="D349" s="41" t="s">
        <v>641</v>
      </c>
      <c r="E349" s="41" t="s">
        <v>657</v>
      </c>
      <c r="F349" s="41" t="s">
        <v>1244</v>
      </c>
      <c r="G349" s="41" t="s">
        <v>652</v>
      </c>
      <c r="H349" s="41" t="s">
        <v>676</v>
      </c>
      <c r="I349" s="41" t="s">
        <v>708</v>
      </c>
      <c r="J349" s="41" t="s">
        <v>678</v>
      </c>
      <c r="K349" s="41" t="s">
        <v>689</v>
      </c>
      <c r="L349" s="41" t="s">
        <v>715</v>
      </c>
      <c r="M349" s="41">
        <v>0</v>
      </c>
      <c r="N349" s="44"/>
    </row>
    <row r="350" customHeight="1" spans="1:14">
      <c r="A350" s="38">
        <v>1039</v>
      </c>
      <c r="B350" s="39" t="s">
        <v>1099</v>
      </c>
      <c r="C350" s="39" t="s">
        <v>674</v>
      </c>
      <c r="D350" s="39" t="s">
        <v>647</v>
      </c>
      <c r="E350" s="39" t="s">
        <v>657</v>
      </c>
      <c r="F350" s="39" t="s">
        <v>1245</v>
      </c>
      <c r="G350" s="39" t="s">
        <v>656</v>
      </c>
      <c r="H350" s="39" t="s">
        <v>676</v>
      </c>
      <c r="I350" s="39" t="s">
        <v>693</v>
      </c>
      <c r="J350" s="39" t="s">
        <v>709</v>
      </c>
      <c r="K350" s="39" t="s">
        <v>732</v>
      </c>
      <c r="L350" s="39" t="s">
        <v>719</v>
      </c>
      <c r="M350" s="39">
        <v>0</v>
      </c>
      <c r="N350" s="43"/>
    </row>
    <row r="351" customHeight="1" spans="1:14">
      <c r="A351" s="40">
        <v>1040</v>
      </c>
      <c r="B351" s="41" t="s">
        <v>1210</v>
      </c>
      <c r="C351" s="41" t="s">
        <v>691</v>
      </c>
      <c r="D351" s="41" t="s">
        <v>639</v>
      </c>
      <c r="E351" s="41" t="s">
        <v>658</v>
      </c>
      <c r="F351" s="41" t="s">
        <v>1246</v>
      </c>
      <c r="G351" s="41" t="s">
        <v>652</v>
      </c>
      <c r="H351" s="41" t="s">
        <v>727</v>
      </c>
      <c r="I351" s="41" t="s">
        <v>677</v>
      </c>
      <c r="J351" s="41" t="s">
        <v>709</v>
      </c>
      <c r="K351" s="41" t="s">
        <v>732</v>
      </c>
      <c r="L351" s="41" t="s">
        <v>695</v>
      </c>
      <c r="M351" s="41">
        <v>0.6</v>
      </c>
      <c r="N351" s="44"/>
    </row>
    <row r="352" customHeight="1" spans="1:14">
      <c r="A352" s="38">
        <v>1041</v>
      </c>
      <c r="B352" s="39" t="s">
        <v>804</v>
      </c>
      <c r="C352" s="39" t="s">
        <v>691</v>
      </c>
      <c r="D352" s="39" t="s">
        <v>646</v>
      </c>
      <c r="E352" s="39" t="s">
        <v>657</v>
      </c>
      <c r="F352" s="39" t="s">
        <v>1247</v>
      </c>
      <c r="G352" s="39" t="s">
        <v>656</v>
      </c>
      <c r="H352" s="39" t="s">
        <v>676</v>
      </c>
      <c r="I352" s="39" t="s">
        <v>693</v>
      </c>
      <c r="J352" s="39" t="s">
        <v>709</v>
      </c>
      <c r="K352" s="39" t="s">
        <v>701</v>
      </c>
      <c r="L352" s="39" t="s">
        <v>715</v>
      </c>
      <c r="M352" s="39">
        <v>0</v>
      </c>
      <c r="N352" s="43"/>
    </row>
    <row r="353" customHeight="1" spans="1:14">
      <c r="A353" s="40">
        <v>1042</v>
      </c>
      <c r="B353" s="41" t="s">
        <v>1248</v>
      </c>
      <c r="C353" s="41" t="s">
        <v>674</v>
      </c>
      <c r="D353" s="41" t="s">
        <v>638</v>
      </c>
      <c r="E353" s="41" t="s">
        <v>657</v>
      </c>
      <c r="F353" s="41" t="s">
        <v>1249</v>
      </c>
      <c r="G353" s="41" t="s">
        <v>652</v>
      </c>
      <c r="H353" s="41" t="s">
        <v>687</v>
      </c>
      <c r="I353" s="41" t="s">
        <v>700</v>
      </c>
      <c r="J353" s="41" t="s">
        <v>709</v>
      </c>
      <c r="K353" s="41" t="s">
        <v>694</v>
      </c>
      <c r="L353" s="41" t="s">
        <v>715</v>
      </c>
      <c r="M353" s="41">
        <v>0</v>
      </c>
      <c r="N353" s="44"/>
    </row>
    <row r="354" customHeight="1" spans="1:14">
      <c r="A354" s="38">
        <v>1043</v>
      </c>
      <c r="B354" s="39" t="s">
        <v>1250</v>
      </c>
      <c r="C354" s="39" t="s">
        <v>691</v>
      </c>
      <c r="D354" s="39" t="s">
        <v>638</v>
      </c>
      <c r="E354" s="39" t="s">
        <v>657</v>
      </c>
      <c r="F354" s="39" t="s">
        <v>1251</v>
      </c>
      <c r="G354" s="39" t="s">
        <v>652</v>
      </c>
      <c r="H354" s="39" t="s">
        <v>722</v>
      </c>
      <c r="I354" s="39" t="s">
        <v>693</v>
      </c>
      <c r="J354" s="39" t="s">
        <v>678</v>
      </c>
      <c r="K354" s="39" t="s">
        <v>689</v>
      </c>
      <c r="L354" s="39" t="s">
        <v>719</v>
      </c>
      <c r="M354" s="39">
        <v>0</v>
      </c>
      <c r="N354" s="43"/>
    </row>
    <row r="355" customHeight="1" spans="1:14">
      <c r="A355" s="40">
        <v>1044</v>
      </c>
      <c r="B355" s="41" t="s">
        <v>1252</v>
      </c>
      <c r="C355" s="41" t="s">
        <v>691</v>
      </c>
      <c r="D355" s="41" t="s">
        <v>641</v>
      </c>
      <c r="E355" s="41" t="s">
        <v>658</v>
      </c>
      <c r="F355" s="41" t="s">
        <v>1253</v>
      </c>
      <c r="G355" s="41" t="s">
        <v>653</v>
      </c>
      <c r="H355" s="41" t="s">
        <v>722</v>
      </c>
      <c r="I355" s="41" t="s">
        <v>708</v>
      </c>
      <c r="J355" s="41" t="s">
        <v>709</v>
      </c>
      <c r="K355" s="41" t="s">
        <v>710</v>
      </c>
      <c r="L355" s="41" t="s">
        <v>719</v>
      </c>
      <c r="M355" s="41">
        <v>0</v>
      </c>
      <c r="N355" s="44"/>
    </row>
    <row r="356" customHeight="1" spans="1:14">
      <c r="A356" s="38">
        <v>1045</v>
      </c>
      <c r="B356" s="39" t="s">
        <v>1254</v>
      </c>
      <c r="C356" s="39" t="s">
        <v>674</v>
      </c>
      <c r="D356" s="39" t="s">
        <v>641</v>
      </c>
      <c r="E356" s="39" t="s">
        <v>658</v>
      </c>
      <c r="F356" s="39" t="s">
        <v>1255</v>
      </c>
      <c r="G356" s="39" t="s">
        <v>656</v>
      </c>
      <c r="H356" s="39" t="s">
        <v>683</v>
      </c>
      <c r="I356" s="39" t="s">
        <v>700</v>
      </c>
      <c r="J356" s="39" t="s">
        <v>678</v>
      </c>
      <c r="K356" s="39" t="s">
        <v>679</v>
      </c>
      <c r="L356" s="39" t="s">
        <v>680</v>
      </c>
      <c r="M356" s="39">
        <v>0.9</v>
      </c>
      <c r="N356" s="43"/>
    </row>
    <row r="357" customHeight="1" spans="1:14">
      <c r="A357" s="40">
        <v>1046</v>
      </c>
      <c r="B357" s="41" t="s">
        <v>1013</v>
      </c>
      <c r="C357" s="41" t="s">
        <v>691</v>
      </c>
      <c r="D357" s="41" t="s">
        <v>646</v>
      </c>
      <c r="E357" s="41" t="s">
        <v>651</v>
      </c>
      <c r="F357" s="41" t="s">
        <v>1256</v>
      </c>
      <c r="G357" s="41" t="s">
        <v>656</v>
      </c>
      <c r="H357" s="41" t="s">
        <v>687</v>
      </c>
      <c r="I357" s="41" t="s">
        <v>700</v>
      </c>
      <c r="J357" s="41" t="s">
        <v>678</v>
      </c>
      <c r="K357" s="41" t="s">
        <v>689</v>
      </c>
      <c r="L357" s="41" t="s">
        <v>715</v>
      </c>
      <c r="M357" s="41">
        <v>0</v>
      </c>
      <c r="N357" s="44"/>
    </row>
    <row r="358" customHeight="1" spans="1:14">
      <c r="A358" s="38">
        <v>1047</v>
      </c>
      <c r="B358" s="39" t="s">
        <v>993</v>
      </c>
      <c r="C358" s="39" t="s">
        <v>674</v>
      </c>
      <c r="D358" s="39" t="s">
        <v>646</v>
      </c>
      <c r="E358" s="39" t="s">
        <v>658</v>
      </c>
      <c r="F358" s="39" t="s">
        <v>1257</v>
      </c>
      <c r="G358" s="39" t="s">
        <v>655</v>
      </c>
      <c r="H358" s="39" t="s">
        <v>687</v>
      </c>
      <c r="I358" s="39" t="s">
        <v>700</v>
      </c>
      <c r="J358" s="39" t="s">
        <v>678</v>
      </c>
      <c r="K358" s="39" t="s">
        <v>710</v>
      </c>
      <c r="L358" s="39" t="s">
        <v>684</v>
      </c>
      <c r="M358" s="39">
        <v>0.85</v>
      </c>
      <c r="N358" s="43"/>
    </row>
    <row r="359" customHeight="1" spans="1:14">
      <c r="A359" s="40">
        <v>1048</v>
      </c>
      <c r="B359" s="41" t="s">
        <v>1258</v>
      </c>
      <c r="C359" s="41" t="s">
        <v>691</v>
      </c>
      <c r="D359" s="41" t="s">
        <v>640</v>
      </c>
      <c r="E359" s="41" t="s">
        <v>658</v>
      </c>
      <c r="F359" s="41" t="s">
        <v>1259</v>
      </c>
      <c r="G359" s="41" t="s">
        <v>656</v>
      </c>
      <c r="H359" s="41" t="s">
        <v>687</v>
      </c>
      <c r="I359" s="41" t="s">
        <v>700</v>
      </c>
      <c r="J359" s="41" t="s">
        <v>709</v>
      </c>
      <c r="K359" s="41" t="s">
        <v>701</v>
      </c>
      <c r="L359" s="41" t="s">
        <v>680</v>
      </c>
      <c r="M359" s="41">
        <v>0.9</v>
      </c>
      <c r="N359" s="44"/>
    </row>
    <row r="360" customHeight="1" spans="1:14">
      <c r="A360" s="38">
        <v>1049</v>
      </c>
      <c r="B360" s="39" t="s">
        <v>1260</v>
      </c>
      <c r="C360" s="39" t="s">
        <v>691</v>
      </c>
      <c r="D360" s="39" t="s">
        <v>646</v>
      </c>
      <c r="E360" s="39" t="s">
        <v>651</v>
      </c>
      <c r="F360" s="39" t="s">
        <v>1261</v>
      </c>
      <c r="G360" s="39" t="s">
        <v>653</v>
      </c>
      <c r="H360" s="39" t="s">
        <v>718</v>
      </c>
      <c r="I360" s="39" t="s">
        <v>693</v>
      </c>
      <c r="J360" s="39" t="s">
        <v>678</v>
      </c>
      <c r="K360" s="39" t="s">
        <v>732</v>
      </c>
      <c r="L360" s="39" t="s">
        <v>684</v>
      </c>
      <c r="M360" s="39">
        <v>0.85</v>
      </c>
      <c r="N360" s="43"/>
    </row>
    <row r="361" customHeight="1" spans="1:14">
      <c r="A361" s="40">
        <v>1</v>
      </c>
      <c r="B361" s="41" t="s">
        <v>751</v>
      </c>
      <c r="C361" s="41" t="s">
        <v>691</v>
      </c>
      <c r="D361" s="41" t="s">
        <v>647</v>
      </c>
      <c r="E361" s="41" t="s">
        <v>658</v>
      </c>
      <c r="F361" s="41" t="s">
        <v>1262</v>
      </c>
      <c r="G361" s="41" t="s">
        <v>652</v>
      </c>
      <c r="H361" s="41" t="s">
        <v>683</v>
      </c>
      <c r="I361" s="41" t="s">
        <v>693</v>
      </c>
      <c r="J361" s="41" t="s">
        <v>709</v>
      </c>
      <c r="K361" s="41" t="s">
        <v>732</v>
      </c>
      <c r="L361" s="41" t="s">
        <v>715</v>
      </c>
      <c r="M361" s="41">
        <v>0</v>
      </c>
      <c r="N361" s="44"/>
    </row>
    <row r="362" customHeight="1" spans="1:14">
      <c r="A362" s="38">
        <v>2</v>
      </c>
      <c r="B362" s="39" t="s">
        <v>975</v>
      </c>
      <c r="C362" s="39" t="s">
        <v>691</v>
      </c>
      <c r="D362" s="39" t="s">
        <v>647</v>
      </c>
      <c r="E362" s="39" t="s">
        <v>657</v>
      </c>
      <c r="F362" s="39" t="s">
        <v>1263</v>
      </c>
      <c r="G362" s="39" t="s">
        <v>653</v>
      </c>
      <c r="H362" s="39" t="s">
        <v>683</v>
      </c>
      <c r="I362" s="39" t="s">
        <v>688</v>
      </c>
      <c r="J362" s="39" t="s">
        <v>678</v>
      </c>
      <c r="K362" s="39" t="s">
        <v>694</v>
      </c>
      <c r="L362" s="39" t="s">
        <v>680</v>
      </c>
      <c r="M362" s="39">
        <v>0.9</v>
      </c>
      <c r="N362" s="43"/>
    </row>
    <row r="363" customHeight="1" spans="1:14">
      <c r="A363" s="40">
        <v>3</v>
      </c>
      <c r="B363" s="41" t="s">
        <v>1148</v>
      </c>
      <c r="C363" s="41" t="s">
        <v>691</v>
      </c>
      <c r="D363" s="41" t="s">
        <v>646</v>
      </c>
      <c r="E363" s="41" t="s">
        <v>651</v>
      </c>
      <c r="F363" s="41" t="s">
        <v>1264</v>
      </c>
      <c r="G363" s="41" t="s">
        <v>653</v>
      </c>
      <c r="H363" s="41" t="s">
        <v>683</v>
      </c>
      <c r="I363" s="41" t="s">
        <v>700</v>
      </c>
      <c r="J363" s="41" t="s">
        <v>709</v>
      </c>
      <c r="K363" s="41" t="s">
        <v>710</v>
      </c>
      <c r="L363" s="41" t="s">
        <v>684</v>
      </c>
      <c r="M363" s="41">
        <v>0.85</v>
      </c>
      <c r="N363" s="44"/>
    </row>
    <row r="364" customHeight="1" spans="1:14">
      <c r="A364" s="38">
        <v>4</v>
      </c>
      <c r="B364" s="39" t="s">
        <v>1265</v>
      </c>
      <c r="C364" s="39" t="s">
        <v>691</v>
      </c>
      <c r="D364" s="39" t="s">
        <v>647</v>
      </c>
      <c r="E364" s="39" t="s">
        <v>651</v>
      </c>
      <c r="F364" s="39" t="s">
        <v>1266</v>
      </c>
      <c r="G364" s="39" t="s">
        <v>655</v>
      </c>
      <c r="H364" s="39" t="s">
        <v>707</v>
      </c>
      <c r="I364" s="39" t="s">
        <v>700</v>
      </c>
      <c r="J364" s="39" t="s">
        <v>709</v>
      </c>
      <c r="K364" s="39" t="s">
        <v>689</v>
      </c>
      <c r="L364" s="39" t="s">
        <v>684</v>
      </c>
      <c r="M364" s="39">
        <v>0.85</v>
      </c>
      <c r="N364" s="43"/>
    </row>
    <row r="365" customHeight="1" spans="1:14">
      <c r="A365" s="40">
        <v>5</v>
      </c>
      <c r="B365" s="41" t="s">
        <v>1267</v>
      </c>
      <c r="C365" s="41" t="s">
        <v>691</v>
      </c>
      <c r="D365" s="41" t="s">
        <v>639</v>
      </c>
      <c r="E365" s="41" t="s">
        <v>658</v>
      </c>
      <c r="F365" s="41" t="s">
        <v>1268</v>
      </c>
      <c r="G365" s="41" t="s">
        <v>655</v>
      </c>
      <c r="H365" s="41" t="s">
        <v>727</v>
      </c>
      <c r="I365" s="41" t="s">
        <v>677</v>
      </c>
      <c r="J365" s="41" t="s">
        <v>678</v>
      </c>
      <c r="K365" s="41" t="s">
        <v>701</v>
      </c>
      <c r="L365" s="41" t="s">
        <v>695</v>
      </c>
      <c r="M365" s="41">
        <v>0.6</v>
      </c>
      <c r="N365" s="44"/>
    </row>
    <row r="366" customHeight="1" spans="1:14">
      <c r="A366" s="38">
        <v>6</v>
      </c>
      <c r="B366" s="39" t="s">
        <v>882</v>
      </c>
      <c r="C366" s="39" t="s">
        <v>691</v>
      </c>
      <c r="D366" s="39" t="s">
        <v>639</v>
      </c>
      <c r="E366" s="39" t="s">
        <v>658</v>
      </c>
      <c r="F366" s="39" t="s">
        <v>1269</v>
      </c>
      <c r="G366" s="39" t="s">
        <v>652</v>
      </c>
      <c r="H366" s="39" t="s">
        <v>683</v>
      </c>
      <c r="I366" s="39" t="s">
        <v>677</v>
      </c>
      <c r="J366" s="39" t="s">
        <v>678</v>
      </c>
      <c r="K366" s="39" t="s">
        <v>679</v>
      </c>
      <c r="L366" s="39" t="s">
        <v>680</v>
      </c>
      <c r="M366" s="39">
        <v>0.9</v>
      </c>
      <c r="N366" s="43"/>
    </row>
    <row r="367" customHeight="1" spans="1:14">
      <c r="A367" s="40">
        <v>7</v>
      </c>
      <c r="B367" s="41" t="s">
        <v>1099</v>
      </c>
      <c r="C367" s="41" t="s">
        <v>674</v>
      </c>
      <c r="D367" s="41" t="s">
        <v>647</v>
      </c>
      <c r="E367" s="41" t="s">
        <v>657</v>
      </c>
      <c r="F367" s="41" t="s">
        <v>1270</v>
      </c>
      <c r="G367" s="41" t="s">
        <v>656</v>
      </c>
      <c r="H367" s="41" t="s">
        <v>722</v>
      </c>
      <c r="I367" s="41" t="s">
        <v>688</v>
      </c>
      <c r="J367" s="41" t="s">
        <v>709</v>
      </c>
      <c r="K367" s="41" t="s">
        <v>694</v>
      </c>
      <c r="L367" s="41" t="s">
        <v>684</v>
      </c>
      <c r="M367" s="41">
        <v>0.85</v>
      </c>
      <c r="N367" s="44"/>
    </row>
    <row r="368" customHeight="1" spans="1:14">
      <c r="A368" s="38">
        <v>8</v>
      </c>
      <c r="B368" s="39" t="s">
        <v>1271</v>
      </c>
      <c r="C368" s="39" t="s">
        <v>691</v>
      </c>
      <c r="D368" s="39" t="s">
        <v>641</v>
      </c>
      <c r="E368" s="39" t="s">
        <v>658</v>
      </c>
      <c r="F368" s="39" t="s">
        <v>1272</v>
      </c>
      <c r="G368" s="39" t="s">
        <v>654</v>
      </c>
      <c r="H368" s="39" t="s">
        <v>722</v>
      </c>
      <c r="I368" s="39" t="s">
        <v>693</v>
      </c>
      <c r="J368" s="39" t="s">
        <v>678</v>
      </c>
      <c r="K368" s="39" t="s">
        <v>689</v>
      </c>
      <c r="L368" s="39" t="s">
        <v>715</v>
      </c>
      <c r="M368" s="39">
        <v>0</v>
      </c>
      <c r="N368" s="43"/>
    </row>
    <row r="369" customHeight="1" spans="1:14">
      <c r="A369" s="40">
        <v>9</v>
      </c>
      <c r="B369" s="41" t="s">
        <v>1059</v>
      </c>
      <c r="C369" s="41" t="s">
        <v>691</v>
      </c>
      <c r="D369" s="41" t="s">
        <v>646</v>
      </c>
      <c r="E369" s="41" t="s">
        <v>657</v>
      </c>
      <c r="F369" s="41" t="s">
        <v>1273</v>
      </c>
      <c r="G369" s="41" t="s">
        <v>655</v>
      </c>
      <c r="H369" s="41" t="s">
        <v>707</v>
      </c>
      <c r="I369" s="41" t="s">
        <v>688</v>
      </c>
      <c r="J369" s="41" t="s">
        <v>709</v>
      </c>
      <c r="K369" s="41" t="s">
        <v>732</v>
      </c>
      <c r="L369" s="41" t="s">
        <v>695</v>
      </c>
      <c r="M369" s="41">
        <v>0.6</v>
      </c>
      <c r="N369" s="44"/>
    </row>
    <row r="370" customHeight="1" spans="1:14">
      <c r="A370" s="38">
        <v>10</v>
      </c>
      <c r="B370" s="39" t="s">
        <v>1274</v>
      </c>
      <c r="C370" s="39" t="s">
        <v>691</v>
      </c>
      <c r="D370" s="39" t="s">
        <v>642</v>
      </c>
      <c r="E370" s="39" t="s">
        <v>658</v>
      </c>
      <c r="F370" s="39" t="s">
        <v>1275</v>
      </c>
      <c r="G370" s="39" t="s">
        <v>656</v>
      </c>
      <c r="H370" s="39" t="s">
        <v>683</v>
      </c>
      <c r="I370" s="39" t="s">
        <v>708</v>
      </c>
      <c r="J370" s="39" t="s">
        <v>709</v>
      </c>
      <c r="K370" s="39" t="s">
        <v>701</v>
      </c>
      <c r="L370" s="39" t="s">
        <v>743</v>
      </c>
      <c r="M370" s="39">
        <v>0</v>
      </c>
      <c r="N370" s="43"/>
    </row>
    <row r="371" customHeight="1" spans="1:14">
      <c r="A371" s="40">
        <v>11</v>
      </c>
      <c r="B371" s="41" t="s">
        <v>800</v>
      </c>
      <c r="C371" s="41" t="s">
        <v>674</v>
      </c>
      <c r="D371" s="41" t="s">
        <v>641</v>
      </c>
      <c r="E371" s="41" t="s">
        <v>657</v>
      </c>
      <c r="F371" s="41" t="s">
        <v>1276</v>
      </c>
      <c r="G371" s="41" t="s">
        <v>654</v>
      </c>
      <c r="H371" s="41" t="s">
        <v>718</v>
      </c>
      <c r="I371" s="41" t="s">
        <v>693</v>
      </c>
      <c r="J371" s="41" t="s">
        <v>678</v>
      </c>
      <c r="K371" s="41" t="s">
        <v>710</v>
      </c>
      <c r="L371" s="41" t="s">
        <v>715</v>
      </c>
      <c r="M371" s="41">
        <v>0</v>
      </c>
      <c r="N371" s="44"/>
    </row>
    <row r="372" customHeight="1" spans="1:14">
      <c r="A372" s="38">
        <v>12</v>
      </c>
      <c r="B372" s="39" t="s">
        <v>753</v>
      </c>
      <c r="C372" s="39" t="s">
        <v>691</v>
      </c>
      <c r="D372" s="39" t="s">
        <v>648</v>
      </c>
      <c r="E372" s="39" t="s">
        <v>658</v>
      </c>
      <c r="F372" s="39" t="s">
        <v>1277</v>
      </c>
      <c r="G372" s="39" t="s">
        <v>652</v>
      </c>
      <c r="H372" s="39" t="s">
        <v>683</v>
      </c>
      <c r="I372" s="39" t="s">
        <v>708</v>
      </c>
      <c r="J372" s="39" t="s">
        <v>709</v>
      </c>
      <c r="K372" s="39" t="s">
        <v>701</v>
      </c>
      <c r="L372" s="39" t="s">
        <v>684</v>
      </c>
      <c r="M372" s="39">
        <v>0.85</v>
      </c>
      <c r="N372" s="43"/>
    </row>
    <row r="373" customHeight="1" spans="1:14">
      <c r="A373" s="40">
        <v>13</v>
      </c>
      <c r="B373" s="41" t="s">
        <v>1278</v>
      </c>
      <c r="C373" s="41" t="s">
        <v>691</v>
      </c>
      <c r="D373" s="41" t="s">
        <v>644</v>
      </c>
      <c r="E373" s="41" t="s">
        <v>657</v>
      </c>
      <c r="F373" s="41" t="s">
        <v>1279</v>
      </c>
      <c r="G373" s="41" t="s">
        <v>655</v>
      </c>
      <c r="H373" s="41" t="s">
        <v>676</v>
      </c>
      <c r="I373" s="41" t="s">
        <v>708</v>
      </c>
      <c r="J373" s="41" t="s">
        <v>678</v>
      </c>
      <c r="K373" s="41" t="s">
        <v>732</v>
      </c>
      <c r="L373" s="41" t="s">
        <v>695</v>
      </c>
      <c r="M373" s="41">
        <v>0.6</v>
      </c>
      <c r="N373" s="44"/>
    </row>
    <row r="374" customHeight="1" spans="1:14">
      <c r="A374" s="38">
        <v>14</v>
      </c>
      <c r="B374" s="39" t="s">
        <v>1073</v>
      </c>
      <c r="C374" s="39" t="s">
        <v>674</v>
      </c>
      <c r="D374" s="39" t="s">
        <v>647</v>
      </c>
      <c r="E374" s="39" t="s">
        <v>657</v>
      </c>
      <c r="F374" s="39" t="s">
        <v>1280</v>
      </c>
      <c r="G374" s="39" t="s">
        <v>652</v>
      </c>
      <c r="H374" s="39" t="s">
        <v>687</v>
      </c>
      <c r="I374" s="39" t="s">
        <v>693</v>
      </c>
      <c r="J374" s="39" t="s">
        <v>678</v>
      </c>
      <c r="K374" s="39" t="s">
        <v>679</v>
      </c>
      <c r="L374" s="39" t="s">
        <v>684</v>
      </c>
      <c r="M374" s="39">
        <v>0.85</v>
      </c>
      <c r="N374" s="43"/>
    </row>
    <row r="375" customHeight="1" spans="1:14">
      <c r="A375" s="40">
        <v>15</v>
      </c>
      <c r="B375" s="41" t="s">
        <v>816</v>
      </c>
      <c r="C375" s="41" t="s">
        <v>674</v>
      </c>
      <c r="D375" s="41" t="s">
        <v>639</v>
      </c>
      <c r="E375" s="41" t="s">
        <v>658</v>
      </c>
      <c r="F375" s="41" t="s">
        <v>1281</v>
      </c>
      <c r="G375" s="41" t="s">
        <v>655</v>
      </c>
      <c r="H375" s="41" t="s">
        <v>676</v>
      </c>
      <c r="I375" s="41" t="s">
        <v>677</v>
      </c>
      <c r="J375" s="41" t="s">
        <v>678</v>
      </c>
      <c r="K375" s="41" t="s">
        <v>701</v>
      </c>
      <c r="L375" s="41" t="s">
        <v>743</v>
      </c>
      <c r="M375" s="41">
        <v>0</v>
      </c>
      <c r="N375" s="44"/>
    </row>
    <row r="376" customHeight="1" spans="1:14">
      <c r="A376" s="38">
        <v>16</v>
      </c>
      <c r="B376" s="39" t="s">
        <v>864</v>
      </c>
      <c r="C376" s="39" t="s">
        <v>691</v>
      </c>
      <c r="D376" s="39" t="s">
        <v>642</v>
      </c>
      <c r="E376" s="39" t="s">
        <v>658</v>
      </c>
      <c r="F376" s="39" t="s">
        <v>1282</v>
      </c>
      <c r="G376" s="39" t="s">
        <v>654</v>
      </c>
      <c r="H376" s="39" t="s">
        <v>722</v>
      </c>
      <c r="I376" s="39" t="s">
        <v>677</v>
      </c>
      <c r="J376" s="39" t="s">
        <v>678</v>
      </c>
      <c r="K376" s="39" t="s">
        <v>694</v>
      </c>
      <c r="L376" s="39" t="s">
        <v>743</v>
      </c>
      <c r="M376" s="39">
        <v>0</v>
      </c>
      <c r="N376" s="43"/>
    </row>
    <row r="377" customHeight="1" spans="1:14">
      <c r="A377" s="40">
        <v>17</v>
      </c>
      <c r="B377" s="41" t="s">
        <v>1283</v>
      </c>
      <c r="C377" s="41" t="s">
        <v>691</v>
      </c>
      <c r="D377" s="41" t="s">
        <v>640</v>
      </c>
      <c r="E377" s="41" t="s">
        <v>658</v>
      </c>
      <c r="F377" s="41" t="s">
        <v>1284</v>
      </c>
      <c r="G377" s="41" t="s">
        <v>655</v>
      </c>
      <c r="H377" s="41" t="s">
        <v>727</v>
      </c>
      <c r="I377" s="41" t="s">
        <v>688</v>
      </c>
      <c r="J377" s="41" t="s">
        <v>678</v>
      </c>
      <c r="K377" s="41" t="s">
        <v>701</v>
      </c>
      <c r="L377" s="41" t="s">
        <v>719</v>
      </c>
      <c r="M377" s="41">
        <v>0</v>
      </c>
      <c r="N377" s="44"/>
    </row>
    <row r="378" customHeight="1" spans="1:14">
      <c r="A378" s="38">
        <v>18</v>
      </c>
      <c r="B378" s="39" t="s">
        <v>1215</v>
      </c>
      <c r="C378" s="39" t="s">
        <v>691</v>
      </c>
      <c r="D378" s="39" t="s">
        <v>639</v>
      </c>
      <c r="E378" s="39" t="s">
        <v>657</v>
      </c>
      <c r="F378" s="39" t="s">
        <v>1285</v>
      </c>
      <c r="G378" s="39" t="s">
        <v>654</v>
      </c>
      <c r="H378" s="39" t="s">
        <v>707</v>
      </c>
      <c r="I378" s="39" t="s">
        <v>677</v>
      </c>
      <c r="J378" s="39" t="s">
        <v>678</v>
      </c>
      <c r="K378" s="39" t="s">
        <v>710</v>
      </c>
      <c r="L378" s="39" t="s">
        <v>715</v>
      </c>
      <c r="M378" s="39">
        <v>0</v>
      </c>
      <c r="N378" s="43"/>
    </row>
    <row r="379" customHeight="1" spans="1:14">
      <c r="A379" s="40">
        <v>19</v>
      </c>
      <c r="B379" s="41" t="s">
        <v>702</v>
      </c>
      <c r="C379" s="41" t="s">
        <v>703</v>
      </c>
      <c r="D379" s="41" t="s">
        <v>647</v>
      </c>
      <c r="E379" s="41" t="s">
        <v>658</v>
      </c>
      <c r="F379" s="41" t="s">
        <v>1286</v>
      </c>
      <c r="G379" s="41" t="s">
        <v>654</v>
      </c>
      <c r="H379" s="41" t="s">
        <v>727</v>
      </c>
      <c r="I379" s="41" t="s">
        <v>693</v>
      </c>
      <c r="J379" s="41" t="s">
        <v>678</v>
      </c>
      <c r="K379" s="41" t="s">
        <v>732</v>
      </c>
      <c r="L379" s="41" t="s">
        <v>684</v>
      </c>
      <c r="M379" s="41">
        <v>0.85</v>
      </c>
      <c r="N379" s="44"/>
    </row>
    <row r="380" customHeight="1" spans="1:14">
      <c r="A380" s="38">
        <v>20</v>
      </c>
      <c r="B380" s="39" t="s">
        <v>1018</v>
      </c>
      <c r="C380" s="39" t="s">
        <v>674</v>
      </c>
      <c r="D380" s="39" t="s">
        <v>640</v>
      </c>
      <c r="E380" s="39" t="s">
        <v>658</v>
      </c>
      <c r="F380" s="39" t="s">
        <v>1287</v>
      </c>
      <c r="G380" s="39" t="s">
        <v>653</v>
      </c>
      <c r="H380" s="39" t="s">
        <v>676</v>
      </c>
      <c r="I380" s="39" t="s">
        <v>693</v>
      </c>
      <c r="J380" s="39" t="s">
        <v>678</v>
      </c>
      <c r="K380" s="39" t="s">
        <v>689</v>
      </c>
      <c r="L380" s="39" t="s">
        <v>680</v>
      </c>
      <c r="M380" s="39">
        <v>0.9</v>
      </c>
      <c r="N380" s="43"/>
    </row>
    <row r="381" customHeight="1" spans="1:14">
      <c r="A381" s="40">
        <v>21</v>
      </c>
      <c r="B381" s="41" t="s">
        <v>1122</v>
      </c>
      <c r="C381" s="41" t="s">
        <v>691</v>
      </c>
      <c r="D381" s="41" t="s">
        <v>644</v>
      </c>
      <c r="E381" s="41" t="s">
        <v>657</v>
      </c>
      <c r="F381" s="41" t="s">
        <v>1288</v>
      </c>
      <c r="G381" s="41" t="s">
        <v>653</v>
      </c>
      <c r="H381" s="41" t="s">
        <v>718</v>
      </c>
      <c r="I381" s="41" t="s">
        <v>708</v>
      </c>
      <c r="J381" s="41" t="s">
        <v>678</v>
      </c>
      <c r="K381" s="41" t="s">
        <v>679</v>
      </c>
      <c r="L381" s="41" t="s">
        <v>680</v>
      </c>
      <c r="M381" s="41">
        <v>0.9</v>
      </c>
      <c r="N381" s="44"/>
    </row>
    <row r="382" customHeight="1" spans="1:14">
      <c r="A382" s="38">
        <v>22</v>
      </c>
      <c r="B382" s="39" t="s">
        <v>1289</v>
      </c>
      <c r="C382" s="39" t="s">
        <v>691</v>
      </c>
      <c r="D382" s="39" t="s">
        <v>647</v>
      </c>
      <c r="E382" s="39" t="s">
        <v>658</v>
      </c>
      <c r="F382" s="39" t="s">
        <v>1290</v>
      </c>
      <c r="G382" s="39" t="s">
        <v>653</v>
      </c>
      <c r="H382" s="39" t="s">
        <v>727</v>
      </c>
      <c r="I382" s="39" t="s">
        <v>677</v>
      </c>
      <c r="J382" s="39" t="s">
        <v>678</v>
      </c>
      <c r="K382" s="39" t="s">
        <v>732</v>
      </c>
      <c r="L382" s="39" t="s">
        <v>743</v>
      </c>
      <c r="M382" s="39">
        <v>0</v>
      </c>
      <c r="N382" s="43"/>
    </row>
    <row r="383" customHeight="1" spans="1:14">
      <c r="A383" s="40">
        <v>23</v>
      </c>
      <c r="B383" s="41" t="s">
        <v>733</v>
      </c>
      <c r="C383" s="41" t="s">
        <v>674</v>
      </c>
      <c r="D383" s="41" t="s">
        <v>648</v>
      </c>
      <c r="E383" s="41" t="s">
        <v>658</v>
      </c>
      <c r="F383" s="41" t="s">
        <v>1291</v>
      </c>
      <c r="G383" s="41" t="s">
        <v>655</v>
      </c>
      <c r="H383" s="41" t="s">
        <v>687</v>
      </c>
      <c r="I383" s="41" t="s">
        <v>693</v>
      </c>
      <c r="J383" s="41" t="s">
        <v>678</v>
      </c>
      <c r="K383" s="41" t="s">
        <v>701</v>
      </c>
      <c r="L383" s="41" t="s">
        <v>695</v>
      </c>
      <c r="M383" s="41">
        <v>0.6</v>
      </c>
      <c r="N383" s="44"/>
    </row>
    <row r="384" customHeight="1" spans="1:14">
      <c r="A384" s="38">
        <v>24</v>
      </c>
      <c r="B384" s="39" t="s">
        <v>720</v>
      </c>
      <c r="C384" s="39" t="s">
        <v>691</v>
      </c>
      <c r="D384" s="39" t="s">
        <v>646</v>
      </c>
      <c r="E384" s="39" t="s">
        <v>658</v>
      </c>
      <c r="F384" s="39" t="s">
        <v>1292</v>
      </c>
      <c r="G384" s="39" t="s">
        <v>652</v>
      </c>
      <c r="H384" s="39" t="s">
        <v>718</v>
      </c>
      <c r="I384" s="39" t="s">
        <v>700</v>
      </c>
      <c r="J384" s="39" t="s">
        <v>678</v>
      </c>
      <c r="K384" s="39" t="s">
        <v>689</v>
      </c>
      <c r="L384" s="39" t="s">
        <v>719</v>
      </c>
      <c r="M384" s="39">
        <v>0</v>
      </c>
      <c r="N384" s="43"/>
    </row>
    <row r="385" customHeight="1" spans="1:14">
      <c r="A385" s="40">
        <v>25</v>
      </c>
      <c r="B385" s="41" t="s">
        <v>1048</v>
      </c>
      <c r="C385" s="41" t="s">
        <v>691</v>
      </c>
      <c r="D385" s="41" t="s">
        <v>639</v>
      </c>
      <c r="E385" s="41" t="s">
        <v>658</v>
      </c>
      <c r="F385" s="41" t="s">
        <v>1293</v>
      </c>
      <c r="G385" s="41" t="s">
        <v>652</v>
      </c>
      <c r="H385" s="41" t="s">
        <v>683</v>
      </c>
      <c r="I385" s="41" t="s">
        <v>700</v>
      </c>
      <c r="J385" s="41" t="s">
        <v>709</v>
      </c>
      <c r="K385" s="41" t="s">
        <v>732</v>
      </c>
      <c r="L385" s="41" t="s">
        <v>695</v>
      </c>
      <c r="M385" s="41">
        <v>0.6</v>
      </c>
      <c r="N385" s="44"/>
    </row>
    <row r="386" customHeight="1" spans="1:14">
      <c r="A386" s="38">
        <v>26</v>
      </c>
      <c r="B386" s="39" t="s">
        <v>1294</v>
      </c>
      <c r="C386" s="39" t="s">
        <v>691</v>
      </c>
      <c r="D386" s="39" t="s">
        <v>639</v>
      </c>
      <c r="E386" s="39" t="s">
        <v>658</v>
      </c>
      <c r="F386" s="39" t="s">
        <v>1295</v>
      </c>
      <c r="G386" s="39" t="s">
        <v>656</v>
      </c>
      <c r="H386" s="39" t="s">
        <v>707</v>
      </c>
      <c r="I386" s="39" t="s">
        <v>677</v>
      </c>
      <c r="J386" s="39" t="s">
        <v>678</v>
      </c>
      <c r="K386" s="39" t="s">
        <v>689</v>
      </c>
      <c r="L386" s="39" t="s">
        <v>695</v>
      </c>
      <c r="M386" s="39">
        <v>0.6</v>
      </c>
      <c r="N386" s="43"/>
    </row>
    <row r="387" customHeight="1" spans="1:14">
      <c r="A387" s="40">
        <v>27</v>
      </c>
      <c r="B387" s="41" t="s">
        <v>1296</v>
      </c>
      <c r="C387" s="41" t="s">
        <v>691</v>
      </c>
      <c r="D387" s="41" t="s">
        <v>647</v>
      </c>
      <c r="E387" s="41" t="s">
        <v>657</v>
      </c>
      <c r="F387" s="41" t="s">
        <v>1297</v>
      </c>
      <c r="G387" s="41" t="s">
        <v>656</v>
      </c>
      <c r="H387" s="41" t="s">
        <v>687</v>
      </c>
      <c r="I387" s="41" t="s">
        <v>688</v>
      </c>
      <c r="J387" s="41" t="s">
        <v>678</v>
      </c>
      <c r="K387" s="41" t="s">
        <v>689</v>
      </c>
      <c r="L387" s="41" t="s">
        <v>684</v>
      </c>
      <c r="M387" s="41">
        <v>0.85</v>
      </c>
      <c r="N387" s="44"/>
    </row>
    <row r="388" customHeight="1" spans="1:14">
      <c r="A388" s="38">
        <v>28</v>
      </c>
      <c r="B388" s="39" t="s">
        <v>888</v>
      </c>
      <c r="C388" s="39" t="s">
        <v>691</v>
      </c>
      <c r="D388" s="39" t="s">
        <v>647</v>
      </c>
      <c r="E388" s="39" t="s">
        <v>657</v>
      </c>
      <c r="F388" s="39" t="s">
        <v>1298</v>
      </c>
      <c r="G388" s="39" t="s">
        <v>654</v>
      </c>
      <c r="H388" s="39" t="s">
        <v>727</v>
      </c>
      <c r="I388" s="39" t="s">
        <v>688</v>
      </c>
      <c r="J388" s="39" t="s">
        <v>678</v>
      </c>
      <c r="K388" s="39" t="s">
        <v>689</v>
      </c>
      <c r="L388" s="39" t="s">
        <v>684</v>
      </c>
      <c r="M388" s="39">
        <v>0.85</v>
      </c>
      <c r="N388" s="43"/>
    </row>
    <row r="389" customHeight="1" spans="1:14">
      <c r="A389" s="40">
        <v>29</v>
      </c>
      <c r="B389" s="41" t="s">
        <v>685</v>
      </c>
      <c r="C389" s="41" t="s">
        <v>674</v>
      </c>
      <c r="D389" s="41" t="s">
        <v>645</v>
      </c>
      <c r="E389" s="41" t="s">
        <v>651</v>
      </c>
      <c r="F389" s="41" t="s">
        <v>1299</v>
      </c>
      <c r="G389" s="41" t="s">
        <v>653</v>
      </c>
      <c r="H389" s="41" t="s">
        <v>727</v>
      </c>
      <c r="I389" s="41" t="s">
        <v>700</v>
      </c>
      <c r="J389" s="41" t="s">
        <v>709</v>
      </c>
      <c r="K389" s="41" t="s">
        <v>689</v>
      </c>
      <c r="L389" s="41" t="s">
        <v>695</v>
      </c>
      <c r="M389" s="41">
        <v>0.6</v>
      </c>
      <c r="N389" s="44"/>
    </row>
    <row r="390" customHeight="1" spans="1:14">
      <c r="A390" s="38">
        <v>30</v>
      </c>
      <c r="B390" s="39" t="s">
        <v>1300</v>
      </c>
      <c r="C390" s="39" t="s">
        <v>674</v>
      </c>
      <c r="D390" s="39" t="s">
        <v>647</v>
      </c>
      <c r="E390" s="39" t="s">
        <v>657</v>
      </c>
      <c r="F390" s="39" t="s">
        <v>1301</v>
      </c>
      <c r="G390" s="39" t="s">
        <v>655</v>
      </c>
      <c r="H390" s="39" t="s">
        <v>718</v>
      </c>
      <c r="I390" s="39" t="s">
        <v>677</v>
      </c>
      <c r="J390" s="39" t="s">
        <v>709</v>
      </c>
      <c r="K390" s="39" t="s">
        <v>701</v>
      </c>
      <c r="L390" s="39" t="s">
        <v>719</v>
      </c>
      <c r="M390" s="39">
        <v>0</v>
      </c>
      <c r="N390" s="43"/>
    </row>
    <row r="391" customHeight="1" spans="1:14">
      <c r="A391" s="40">
        <v>31</v>
      </c>
      <c r="B391" s="41" t="s">
        <v>1128</v>
      </c>
      <c r="C391" s="41" t="s">
        <v>691</v>
      </c>
      <c r="D391" s="41" t="s">
        <v>642</v>
      </c>
      <c r="E391" s="41" t="s">
        <v>657</v>
      </c>
      <c r="F391" s="41" t="s">
        <v>1302</v>
      </c>
      <c r="G391" s="41" t="s">
        <v>652</v>
      </c>
      <c r="H391" s="41" t="s">
        <v>683</v>
      </c>
      <c r="I391" s="41" t="s">
        <v>693</v>
      </c>
      <c r="J391" s="41" t="s">
        <v>678</v>
      </c>
      <c r="K391" s="41" t="s">
        <v>694</v>
      </c>
      <c r="L391" s="41" t="s">
        <v>680</v>
      </c>
      <c r="M391" s="41">
        <v>0.9</v>
      </c>
      <c r="N391" s="44"/>
    </row>
    <row r="392" customHeight="1" spans="1:14">
      <c r="A392" s="38">
        <v>32</v>
      </c>
      <c r="B392" s="39" t="s">
        <v>1097</v>
      </c>
      <c r="C392" s="39" t="s">
        <v>691</v>
      </c>
      <c r="D392" s="39" t="s">
        <v>641</v>
      </c>
      <c r="E392" s="39" t="s">
        <v>657</v>
      </c>
      <c r="F392" s="39" t="s">
        <v>1303</v>
      </c>
      <c r="G392" s="39" t="s">
        <v>653</v>
      </c>
      <c r="H392" s="39" t="s">
        <v>707</v>
      </c>
      <c r="I392" s="39" t="s">
        <v>677</v>
      </c>
      <c r="J392" s="39" t="s">
        <v>709</v>
      </c>
      <c r="K392" s="39" t="s">
        <v>689</v>
      </c>
      <c r="L392" s="39" t="s">
        <v>695</v>
      </c>
      <c r="M392" s="39">
        <v>0.6</v>
      </c>
      <c r="N392" s="43"/>
    </row>
    <row r="393" customHeight="1" spans="1:14">
      <c r="A393" s="40">
        <v>33</v>
      </c>
      <c r="B393" s="41" t="s">
        <v>1304</v>
      </c>
      <c r="C393" s="41" t="s">
        <v>674</v>
      </c>
      <c r="D393" s="41" t="s">
        <v>647</v>
      </c>
      <c r="E393" s="41" t="s">
        <v>657</v>
      </c>
      <c r="F393" s="41" t="s">
        <v>1305</v>
      </c>
      <c r="G393" s="41" t="s">
        <v>653</v>
      </c>
      <c r="H393" s="41" t="s">
        <v>718</v>
      </c>
      <c r="I393" s="41" t="s">
        <v>708</v>
      </c>
      <c r="J393" s="41" t="s">
        <v>709</v>
      </c>
      <c r="K393" s="41" t="s">
        <v>689</v>
      </c>
      <c r="L393" s="41" t="s">
        <v>695</v>
      </c>
      <c r="M393" s="41">
        <v>0.6</v>
      </c>
      <c r="N393" s="44"/>
    </row>
    <row r="394" customHeight="1" spans="1:14">
      <c r="A394" s="38">
        <v>34</v>
      </c>
      <c r="B394" s="39" t="s">
        <v>1306</v>
      </c>
      <c r="C394" s="39" t="s">
        <v>691</v>
      </c>
      <c r="D394" s="39" t="s">
        <v>641</v>
      </c>
      <c r="E394" s="39" t="s">
        <v>657</v>
      </c>
      <c r="F394" s="39" t="s">
        <v>1307</v>
      </c>
      <c r="G394" s="39" t="s">
        <v>656</v>
      </c>
      <c r="H394" s="39" t="s">
        <v>722</v>
      </c>
      <c r="I394" s="39" t="s">
        <v>677</v>
      </c>
      <c r="J394" s="39" t="s">
        <v>709</v>
      </c>
      <c r="K394" s="39" t="s">
        <v>701</v>
      </c>
      <c r="L394" s="39" t="s">
        <v>715</v>
      </c>
      <c r="M394" s="39">
        <v>0</v>
      </c>
      <c r="N394" s="43"/>
    </row>
    <row r="395" customHeight="1" spans="1:14">
      <c r="A395" s="40">
        <v>35</v>
      </c>
      <c r="B395" s="41" t="s">
        <v>1032</v>
      </c>
      <c r="C395" s="41" t="s">
        <v>691</v>
      </c>
      <c r="D395" s="41" t="s">
        <v>645</v>
      </c>
      <c r="E395" s="41" t="s">
        <v>658</v>
      </c>
      <c r="F395" s="41" t="s">
        <v>1308</v>
      </c>
      <c r="G395" s="41" t="s">
        <v>655</v>
      </c>
      <c r="H395" s="41" t="s">
        <v>683</v>
      </c>
      <c r="I395" s="41" t="s">
        <v>693</v>
      </c>
      <c r="J395" s="41" t="s">
        <v>709</v>
      </c>
      <c r="K395" s="41" t="s">
        <v>694</v>
      </c>
      <c r="L395" s="41" t="s">
        <v>680</v>
      </c>
      <c r="M395" s="41">
        <v>0.9</v>
      </c>
      <c r="N395" s="44"/>
    </row>
    <row r="396" customHeight="1" spans="1:14">
      <c r="A396" s="38">
        <v>36</v>
      </c>
      <c r="B396" s="39" t="s">
        <v>1309</v>
      </c>
      <c r="C396" s="39" t="s">
        <v>674</v>
      </c>
      <c r="D396" s="39" t="s">
        <v>639</v>
      </c>
      <c r="E396" s="39" t="s">
        <v>657</v>
      </c>
      <c r="F396" s="39" t="s">
        <v>1310</v>
      </c>
      <c r="G396" s="39" t="s">
        <v>655</v>
      </c>
      <c r="H396" s="39" t="s">
        <v>718</v>
      </c>
      <c r="I396" s="39" t="s">
        <v>693</v>
      </c>
      <c r="J396" s="39" t="s">
        <v>709</v>
      </c>
      <c r="K396" s="39" t="s">
        <v>701</v>
      </c>
      <c r="L396" s="39" t="s">
        <v>715</v>
      </c>
      <c r="M396" s="39">
        <v>0</v>
      </c>
      <c r="N396" s="43"/>
    </row>
    <row r="397" customHeight="1" spans="1:14">
      <c r="A397" s="40">
        <v>37</v>
      </c>
      <c r="B397" s="41" t="s">
        <v>796</v>
      </c>
      <c r="C397" s="41" t="s">
        <v>674</v>
      </c>
      <c r="D397" s="41" t="s">
        <v>647</v>
      </c>
      <c r="E397" s="41" t="s">
        <v>658</v>
      </c>
      <c r="F397" s="41" t="s">
        <v>1311</v>
      </c>
      <c r="G397" s="41" t="s">
        <v>655</v>
      </c>
      <c r="H397" s="41" t="s">
        <v>707</v>
      </c>
      <c r="I397" s="41" t="s">
        <v>700</v>
      </c>
      <c r="J397" s="41" t="s">
        <v>678</v>
      </c>
      <c r="K397" s="41" t="s">
        <v>689</v>
      </c>
      <c r="L397" s="41" t="s">
        <v>715</v>
      </c>
      <c r="M397" s="41">
        <v>0</v>
      </c>
      <c r="N397" s="44"/>
    </row>
    <row r="398" customHeight="1" spans="1:14">
      <c r="A398" s="38">
        <v>38</v>
      </c>
      <c r="B398" s="39" t="s">
        <v>1312</v>
      </c>
      <c r="C398" s="39" t="s">
        <v>674</v>
      </c>
      <c r="D398" s="39" t="s">
        <v>642</v>
      </c>
      <c r="E398" s="39" t="s">
        <v>658</v>
      </c>
      <c r="F398" s="39" t="s">
        <v>1313</v>
      </c>
      <c r="G398" s="39" t="s">
        <v>654</v>
      </c>
      <c r="H398" s="39" t="s">
        <v>727</v>
      </c>
      <c r="I398" s="39" t="s">
        <v>693</v>
      </c>
      <c r="J398" s="39" t="s">
        <v>678</v>
      </c>
      <c r="K398" s="39" t="s">
        <v>679</v>
      </c>
      <c r="L398" s="39" t="s">
        <v>680</v>
      </c>
      <c r="M398" s="39">
        <v>0.9</v>
      </c>
      <c r="N398" s="43"/>
    </row>
    <row r="399" customHeight="1" spans="1:14">
      <c r="A399" s="40">
        <v>39</v>
      </c>
      <c r="B399" s="41" t="s">
        <v>1314</v>
      </c>
      <c r="C399" s="41" t="s">
        <v>674</v>
      </c>
      <c r="D399" s="41" t="s">
        <v>646</v>
      </c>
      <c r="E399" s="41" t="s">
        <v>657</v>
      </c>
      <c r="F399" s="41" t="s">
        <v>1315</v>
      </c>
      <c r="G399" s="41" t="s">
        <v>652</v>
      </c>
      <c r="H399" s="41" t="s">
        <v>676</v>
      </c>
      <c r="I399" s="41" t="s">
        <v>693</v>
      </c>
      <c r="J399" s="41" t="s">
        <v>709</v>
      </c>
      <c r="K399" s="41" t="s">
        <v>701</v>
      </c>
      <c r="L399" s="41" t="s">
        <v>743</v>
      </c>
      <c r="M399" s="41">
        <v>0</v>
      </c>
      <c r="N399" s="44"/>
    </row>
    <row r="400" customHeight="1" spans="1:14">
      <c r="A400" s="38">
        <v>40</v>
      </c>
      <c r="B400" s="39" t="s">
        <v>929</v>
      </c>
      <c r="C400" s="39" t="s">
        <v>691</v>
      </c>
      <c r="D400" s="39" t="s">
        <v>646</v>
      </c>
      <c r="E400" s="39" t="s">
        <v>658</v>
      </c>
      <c r="F400" s="39" t="s">
        <v>1316</v>
      </c>
      <c r="G400" s="39" t="s">
        <v>653</v>
      </c>
      <c r="H400" s="39" t="s">
        <v>687</v>
      </c>
      <c r="I400" s="39" t="s">
        <v>688</v>
      </c>
      <c r="J400" s="39" t="s">
        <v>678</v>
      </c>
      <c r="K400" s="39" t="s">
        <v>694</v>
      </c>
      <c r="L400" s="39" t="s">
        <v>680</v>
      </c>
      <c r="M400" s="39">
        <v>0.9</v>
      </c>
      <c r="N400" s="43"/>
    </row>
    <row r="401" customHeight="1" spans="1:14">
      <c r="A401" s="40">
        <v>41</v>
      </c>
      <c r="B401" s="41" t="s">
        <v>1317</v>
      </c>
      <c r="C401" s="41" t="s">
        <v>691</v>
      </c>
      <c r="D401" s="41" t="s">
        <v>647</v>
      </c>
      <c r="E401" s="41" t="s">
        <v>657</v>
      </c>
      <c r="F401" s="41" t="s">
        <v>1318</v>
      </c>
      <c r="G401" s="41" t="s">
        <v>655</v>
      </c>
      <c r="H401" s="41" t="s">
        <v>683</v>
      </c>
      <c r="I401" s="41" t="s">
        <v>677</v>
      </c>
      <c r="J401" s="41" t="s">
        <v>678</v>
      </c>
      <c r="K401" s="41" t="s">
        <v>701</v>
      </c>
      <c r="L401" s="41" t="s">
        <v>695</v>
      </c>
      <c r="M401" s="41">
        <v>0.6</v>
      </c>
      <c r="N401" s="44"/>
    </row>
    <row r="402" customHeight="1" spans="1:14">
      <c r="A402" s="38">
        <v>42</v>
      </c>
      <c r="B402" s="39" t="s">
        <v>1300</v>
      </c>
      <c r="C402" s="39" t="s">
        <v>674</v>
      </c>
      <c r="D402" s="39" t="s">
        <v>647</v>
      </c>
      <c r="E402" s="39" t="s">
        <v>657</v>
      </c>
      <c r="F402" s="39" t="s">
        <v>1319</v>
      </c>
      <c r="G402" s="39" t="s">
        <v>653</v>
      </c>
      <c r="H402" s="39" t="s">
        <v>676</v>
      </c>
      <c r="I402" s="39" t="s">
        <v>688</v>
      </c>
      <c r="J402" s="39" t="s">
        <v>678</v>
      </c>
      <c r="K402" s="39" t="s">
        <v>694</v>
      </c>
      <c r="L402" s="39" t="s">
        <v>684</v>
      </c>
      <c r="M402" s="39">
        <v>0.85</v>
      </c>
      <c r="N402" s="43"/>
    </row>
    <row r="403" customHeight="1" spans="1:14">
      <c r="A403" s="40">
        <v>43</v>
      </c>
      <c r="B403" s="41" t="s">
        <v>804</v>
      </c>
      <c r="C403" s="41" t="s">
        <v>691</v>
      </c>
      <c r="D403" s="41" t="s">
        <v>646</v>
      </c>
      <c r="E403" s="41" t="s">
        <v>657</v>
      </c>
      <c r="F403" s="41" t="s">
        <v>1320</v>
      </c>
      <c r="G403" s="41" t="s">
        <v>656</v>
      </c>
      <c r="H403" s="41" t="s">
        <v>687</v>
      </c>
      <c r="I403" s="41" t="s">
        <v>688</v>
      </c>
      <c r="J403" s="41" t="s">
        <v>709</v>
      </c>
      <c r="K403" s="41" t="s">
        <v>732</v>
      </c>
      <c r="L403" s="41" t="s">
        <v>719</v>
      </c>
      <c r="M403" s="41">
        <v>0</v>
      </c>
      <c r="N403" s="44"/>
    </row>
    <row r="404" customHeight="1" spans="1:14">
      <c r="A404" s="38">
        <v>44</v>
      </c>
      <c r="B404" s="39" t="s">
        <v>1156</v>
      </c>
      <c r="C404" s="39" t="s">
        <v>674</v>
      </c>
      <c r="D404" s="39" t="s">
        <v>645</v>
      </c>
      <c r="E404" s="39" t="s">
        <v>658</v>
      </c>
      <c r="F404" s="39" t="s">
        <v>1321</v>
      </c>
      <c r="G404" s="39" t="s">
        <v>652</v>
      </c>
      <c r="H404" s="39" t="s">
        <v>707</v>
      </c>
      <c r="I404" s="39" t="s">
        <v>688</v>
      </c>
      <c r="J404" s="39" t="s">
        <v>709</v>
      </c>
      <c r="K404" s="39" t="s">
        <v>701</v>
      </c>
      <c r="L404" s="39" t="s">
        <v>680</v>
      </c>
      <c r="M404" s="39">
        <v>0.9</v>
      </c>
      <c r="N404" s="43"/>
    </row>
    <row r="405" customHeight="1" spans="1:14">
      <c r="A405" s="40">
        <v>45</v>
      </c>
      <c r="B405" s="41" t="s">
        <v>762</v>
      </c>
      <c r="C405" s="41" t="s">
        <v>691</v>
      </c>
      <c r="D405" s="41" t="s">
        <v>646</v>
      </c>
      <c r="E405" s="41" t="s">
        <v>651</v>
      </c>
      <c r="F405" s="41" t="s">
        <v>1322</v>
      </c>
      <c r="G405" s="41" t="s">
        <v>656</v>
      </c>
      <c r="H405" s="41" t="s">
        <v>727</v>
      </c>
      <c r="I405" s="41" t="s">
        <v>708</v>
      </c>
      <c r="J405" s="41" t="s">
        <v>678</v>
      </c>
      <c r="K405" s="41" t="s">
        <v>679</v>
      </c>
      <c r="L405" s="41" t="s">
        <v>715</v>
      </c>
      <c r="M405" s="41">
        <v>0</v>
      </c>
      <c r="N405" s="44"/>
    </row>
    <row r="406" customHeight="1" spans="1:14">
      <c r="A406" s="38">
        <v>46</v>
      </c>
      <c r="B406" s="39" t="s">
        <v>1323</v>
      </c>
      <c r="C406" s="39" t="s">
        <v>691</v>
      </c>
      <c r="D406" s="39" t="s">
        <v>644</v>
      </c>
      <c r="E406" s="39" t="s">
        <v>657</v>
      </c>
      <c r="F406" s="39" t="s">
        <v>1324</v>
      </c>
      <c r="G406" s="39" t="s">
        <v>655</v>
      </c>
      <c r="H406" s="39" t="s">
        <v>687</v>
      </c>
      <c r="I406" s="39" t="s">
        <v>677</v>
      </c>
      <c r="J406" s="39" t="s">
        <v>678</v>
      </c>
      <c r="K406" s="39" t="s">
        <v>701</v>
      </c>
      <c r="L406" s="39" t="s">
        <v>743</v>
      </c>
      <c r="M406" s="39">
        <v>0</v>
      </c>
      <c r="N406" s="43"/>
    </row>
    <row r="407" customHeight="1" spans="1:14">
      <c r="A407" s="40">
        <v>47</v>
      </c>
      <c r="B407" s="41" t="s">
        <v>921</v>
      </c>
      <c r="C407" s="41" t="s">
        <v>674</v>
      </c>
      <c r="D407" s="41" t="s">
        <v>648</v>
      </c>
      <c r="E407" s="41" t="s">
        <v>658</v>
      </c>
      <c r="F407" s="41" t="s">
        <v>1325</v>
      </c>
      <c r="G407" s="41" t="s">
        <v>655</v>
      </c>
      <c r="H407" s="41" t="s">
        <v>687</v>
      </c>
      <c r="I407" s="41" t="s">
        <v>700</v>
      </c>
      <c r="J407" s="41" t="s">
        <v>709</v>
      </c>
      <c r="K407" s="41" t="s">
        <v>689</v>
      </c>
      <c r="L407" s="41" t="s">
        <v>715</v>
      </c>
      <c r="M407" s="41">
        <v>0</v>
      </c>
      <c r="N407" s="44"/>
    </row>
    <row r="408" customHeight="1" spans="1:14">
      <c r="A408" s="38">
        <v>48</v>
      </c>
      <c r="B408" s="39" t="s">
        <v>812</v>
      </c>
      <c r="C408" s="39" t="s">
        <v>691</v>
      </c>
      <c r="D408" s="39" t="s">
        <v>646</v>
      </c>
      <c r="E408" s="39" t="s">
        <v>658</v>
      </c>
      <c r="F408" s="39" t="s">
        <v>1326</v>
      </c>
      <c r="G408" s="39" t="s">
        <v>653</v>
      </c>
      <c r="H408" s="39" t="s">
        <v>727</v>
      </c>
      <c r="I408" s="39" t="s">
        <v>688</v>
      </c>
      <c r="J408" s="39" t="s">
        <v>678</v>
      </c>
      <c r="K408" s="39" t="s">
        <v>694</v>
      </c>
      <c r="L408" s="39" t="s">
        <v>684</v>
      </c>
      <c r="M408" s="39">
        <v>0.85</v>
      </c>
      <c r="N408" s="43"/>
    </row>
    <row r="409" customHeight="1" spans="1:14">
      <c r="A409" s="40">
        <v>49</v>
      </c>
      <c r="B409" s="41" t="s">
        <v>1327</v>
      </c>
      <c r="C409" s="41" t="s">
        <v>691</v>
      </c>
      <c r="D409" s="41" t="s">
        <v>641</v>
      </c>
      <c r="E409" s="41" t="s">
        <v>657</v>
      </c>
      <c r="F409" s="41" t="s">
        <v>1328</v>
      </c>
      <c r="G409" s="41" t="s">
        <v>655</v>
      </c>
      <c r="H409" s="41" t="s">
        <v>722</v>
      </c>
      <c r="I409" s="41" t="s">
        <v>677</v>
      </c>
      <c r="J409" s="41" t="s">
        <v>678</v>
      </c>
      <c r="K409" s="41" t="s">
        <v>732</v>
      </c>
      <c r="L409" s="41" t="s">
        <v>743</v>
      </c>
      <c r="M409" s="41">
        <v>0</v>
      </c>
      <c r="N409" s="44"/>
    </row>
    <row r="410" customHeight="1" spans="1:14">
      <c r="A410" s="38">
        <v>50</v>
      </c>
      <c r="B410" s="39" t="s">
        <v>1329</v>
      </c>
      <c r="C410" s="39" t="s">
        <v>691</v>
      </c>
      <c r="D410" s="39" t="s">
        <v>638</v>
      </c>
      <c r="E410" s="39" t="s">
        <v>658</v>
      </c>
      <c r="F410" s="39" t="s">
        <v>1330</v>
      </c>
      <c r="G410" s="39" t="s">
        <v>656</v>
      </c>
      <c r="H410" s="39" t="s">
        <v>718</v>
      </c>
      <c r="I410" s="39" t="s">
        <v>677</v>
      </c>
      <c r="J410" s="39" t="s">
        <v>678</v>
      </c>
      <c r="K410" s="39" t="s">
        <v>710</v>
      </c>
      <c r="L410" s="39" t="s">
        <v>695</v>
      </c>
      <c r="M410" s="39">
        <v>0.6</v>
      </c>
      <c r="N410" s="43"/>
    </row>
    <row r="411" customHeight="1" spans="1:14">
      <c r="A411" s="40">
        <v>51</v>
      </c>
      <c r="B411" s="41" t="s">
        <v>1016</v>
      </c>
      <c r="C411" s="41" t="s">
        <v>674</v>
      </c>
      <c r="D411" s="41" t="s">
        <v>647</v>
      </c>
      <c r="E411" s="41" t="s">
        <v>658</v>
      </c>
      <c r="F411" s="41" t="s">
        <v>1331</v>
      </c>
      <c r="G411" s="41" t="s">
        <v>654</v>
      </c>
      <c r="H411" s="41" t="s">
        <v>687</v>
      </c>
      <c r="I411" s="41" t="s">
        <v>677</v>
      </c>
      <c r="J411" s="41" t="s">
        <v>678</v>
      </c>
      <c r="K411" s="41" t="s">
        <v>689</v>
      </c>
      <c r="L411" s="41" t="s">
        <v>680</v>
      </c>
      <c r="M411" s="41">
        <v>0.9</v>
      </c>
      <c r="N411" s="44"/>
    </row>
    <row r="412" customHeight="1" spans="1:14">
      <c r="A412" s="38">
        <v>52</v>
      </c>
      <c r="B412" s="39" t="s">
        <v>913</v>
      </c>
      <c r="C412" s="39" t="s">
        <v>674</v>
      </c>
      <c r="D412" s="39" t="s">
        <v>647</v>
      </c>
      <c r="E412" s="39" t="s">
        <v>657</v>
      </c>
      <c r="F412" s="39" t="s">
        <v>1332</v>
      </c>
      <c r="G412" s="39" t="s">
        <v>652</v>
      </c>
      <c r="H412" s="39" t="s">
        <v>683</v>
      </c>
      <c r="I412" s="39" t="s">
        <v>688</v>
      </c>
      <c r="J412" s="39" t="s">
        <v>678</v>
      </c>
      <c r="K412" s="39" t="s">
        <v>679</v>
      </c>
      <c r="L412" s="39" t="s">
        <v>743</v>
      </c>
      <c r="M412" s="39">
        <v>0</v>
      </c>
      <c r="N412" s="43"/>
    </row>
    <row r="413" customHeight="1" spans="1:14">
      <c r="A413" s="40">
        <v>53</v>
      </c>
      <c r="B413" s="41" t="s">
        <v>768</v>
      </c>
      <c r="C413" s="41" t="s">
        <v>674</v>
      </c>
      <c r="D413" s="41" t="s">
        <v>647</v>
      </c>
      <c r="E413" s="41" t="s">
        <v>657</v>
      </c>
      <c r="F413" s="41" t="s">
        <v>1333</v>
      </c>
      <c r="G413" s="41" t="s">
        <v>652</v>
      </c>
      <c r="H413" s="41" t="s">
        <v>707</v>
      </c>
      <c r="I413" s="41" t="s">
        <v>708</v>
      </c>
      <c r="J413" s="41" t="s">
        <v>709</v>
      </c>
      <c r="K413" s="41" t="s">
        <v>689</v>
      </c>
      <c r="L413" s="41" t="s">
        <v>719</v>
      </c>
      <c r="M413" s="41">
        <v>0</v>
      </c>
      <c r="N413" s="44"/>
    </row>
    <row r="414" customHeight="1" spans="1:14">
      <c r="A414" s="38">
        <v>54</v>
      </c>
      <c r="B414" s="39" t="s">
        <v>1055</v>
      </c>
      <c r="C414" s="39" t="s">
        <v>691</v>
      </c>
      <c r="D414" s="39" t="s">
        <v>644</v>
      </c>
      <c r="E414" s="39" t="s">
        <v>658</v>
      </c>
      <c r="F414" s="39" t="s">
        <v>1334</v>
      </c>
      <c r="G414" s="39" t="s">
        <v>654</v>
      </c>
      <c r="H414" s="39" t="s">
        <v>727</v>
      </c>
      <c r="I414" s="39" t="s">
        <v>708</v>
      </c>
      <c r="J414" s="39" t="s">
        <v>678</v>
      </c>
      <c r="K414" s="39" t="s">
        <v>679</v>
      </c>
      <c r="L414" s="39" t="s">
        <v>743</v>
      </c>
      <c r="M414" s="39">
        <v>0</v>
      </c>
      <c r="N414" s="43"/>
    </row>
    <row r="415" customHeight="1" spans="1:14">
      <c r="A415" s="40">
        <v>55</v>
      </c>
      <c r="B415" s="41" t="s">
        <v>1051</v>
      </c>
      <c r="C415" s="41" t="s">
        <v>691</v>
      </c>
      <c r="D415" s="41" t="s">
        <v>645</v>
      </c>
      <c r="E415" s="41" t="s">
        <v>657</v>
      </c>
      <c r="F415" s="41" t="s">
        <v>1335</v>
      </c>
      <c r="G415" s="41" t="s">
        <v>655</v>
      </c>
      <c r="H415" s="41" t="s">
        <v>683</v>
      </c>
      <c r="I415" s="41" t="s">
        <v>693</v>
      </c>
      <c r="J415" s="41" t="s">
        <v>678</v>
      </c>
      <c r="K415" s="41" t="s">
        <v>701</v>
      </c>
      <c r="L415" s="41" t="s">
        <v>684</v>
      </c>
      <c r="M415" s="41">
        <v>0.85</v>
      </c>
      <c r="N415" s="44"/>
    </row>
    <row r="416" customHeight="1" spans="1:14">
      <c r="A416" s="38">
        <v>56</v>
      </c>
      <c r="B416" s="39" t="s">
        <v>856</v>
      </c>
      <c r="C416" s="39" t="s">
        <v>674</v>
      </c>
      <c r="D416" s="39" t="s">
        <v>645</v>
      </c>
      <c r="E416" s="39" t="s">
        <v>658</v>
      </c>
      <c r="F416" s="39" t="s">
        <v>1336</v>
      </c>
      <c r="G416" s="39" t="s">
        <v>656</v>
      </c>
      <c r="H416" s="39" t="s">
        <v>707</v>
      </c>
      <c r="I416" s="39" t="s">
        <v>693</v>
      </c>
      <c r="J416" s="39" t="s">
        <v>678</v>
      </c>
      <c r="K416" s="39" t="s">
        <v>694</v>
      </c>
      <c r="L416" s="39" t="s">
        <v>680</v>
      </c>
      <c r="M416" s="39">
        <v>0.9</v>
      </c>
      <c r="N416" s="43"/>
    </row>
    <row r="417" customHeight="1" spans="1:14">
      <c r="A417" s="40">
        <v>57</v>
      </c>
      <c r="B417" s="41" t="s">
        <v>816</v>
      </c>
      <c r="C417" s="41" t="s">
        <v>674</v>
      </c>
      <c r="D417" s="41" t="s">
        <v>639</v>
      </c>
      <c r="E417" s="41" t="s">
        <v>658</v>
      </c>
      <c r="F417" s="41" t="s">
        <v>1337</v>
      </c>
      <c r="G417" s="41" t="s">
        <v>655</v>
      </c>
      <c r="H417" s="41" t="s">
        <v>687</v>
      </c>
      <c r="I417" s="41" t="s">
        <v>708</v>
      </c>
      <c r="J417" s="41" t="s">
        <v>709</v>
      </c>
      <c r="K417" s="41" t="s">
        <v>701</v>
      </c>
      <c r="L417" s="41" t="s">
        <v>719</v>
      </c>
      <c r="M417" s="41">
        <v>0</v>
      </c>
      <c r="N417" s="44"/>
    </row>
    <row r="418" customHeight="1" spans="1:14">
      <c r="A418" s="38">
        <v>58</v>
      </c>
      <c r="B418" s="39" t="s">
        <v>1294</v>
      </c>
      <c r="C418" s="39" t="s">
        <v>691</v>
      </c>
      <c r="D418" s="39" t="s">
        <v>639</v>
      </c>
      <c r="E418" s="39" t="s">
        <v>658</v>
      </c>
      <c r="F418" s="39" t="s">
        <v>1338</v>
      </c>
      <c r="G418" s="39" t="s">
        <v>652</v>
      </c>
      <c r="H418" s="39" t="s">
        <v>722</v>
      </c>
      <c r="I418" s="39" t="s">
        <v>693</v>
      </c>
      <c r="J418" s="39" t="s">
        <v>678</v>
      </c>
      <c r="K418" s="39" t="s">
        <v>732</v>
      </c>
      <c r="L418" s="39" t="s">
        <v>719</v>
      </c>
      <c r="M418" s="39">
        <v>0</v>
      </c>
      <c r="N418" s="43"/>
    </row>
    <row r="419" customHeight="1" spans="1:14">
      <c r="A419" s="40">
        <v>59</v>
      </c>
      <c r="B419" s="41" t="s">
        <v>1339</v>
      </c>
      <c r="C419" s="41" t="s">
        <v>674</v>
      </c>
      <c r="D419" s="41" t="s">
        <v>643</v>
      </c>
      <c r="E419" s="41" t="s">
        <v>657</v>
      </c>
      <c r="F419" s="41" t="s">
        <v>1340</v>
      </c>
      <c r="G419" s="41" t="s">
        <v>652</v>
      </c>
      <c r="H419" s="41" t="s">
        <v>707</v>
      </c>
      <c r="I419" s="41" t="s">
        <v>693</v>
      </c>
      <c r="J419" s="41" t="s">
        <v>709</v>
      </c>
      <c r="K419" s="41" t="s">
        <v>679</v>
      </c>
      <c r="L419" s="41" t="s">
        <v>680</v>
      </c>
      <c r="M419" s="41">
        <v>0.9</v>
      </c>
      <c r="N419" s="44"/>
    </row>
    <row r="420" customHeight="1" spans="1:14">
      <c r="A420" s="38">
        <v>60</v>
      </c>
      <c r="B420" s="39" t="s">
        <v>984</v>
      </c>
      <c r="C420" s="39" t="s">
        <v>691</v>
      </c>
      <c r="D420" s="39" t="s">
        <v>644</v>
      </c>
      <c r="E420" s="39" t="s">
        <v>657</v>
      </c>
      <c r="F420" s="39" t="s">
        <v>1341</v>
      </c>
      <c r="G420" s="39" t="s">
        <v>654</v>
      </c>
      <c r="H420" s="39" t="s">
        <v>683</v>
      </c>
      <c r="I420" s="39" t="s">
        <v>708</v>
      </c>
      <c r="J420" s="39" t="s">
        <v>678</v>
      </c>
      <c r="K420" s="39" t="s">
        <v>732</v>
      </c>
      <c r="L420" s="39" t="s">
        <v>719</v>
      </c>
      <c r="M420" s="39">
        <v>0</v>
      </c>
      <c r="N420" s="43"/>
    </row>
    <row r="421" customHeight="1" spans="1:14">
      <c r="A421" s="40">
        <v>61</v>
      </c>
      <c r="B421" s="41" t="s">
        <v>735</v>
      </c>
      <c r="C421" s="41" t="s">
        <v>691</v>
      </c>
      <c r="D421" s="41" t="s">
        <v>648</v>
      </c>
      <c r="E421" s="41" t="s">
        <v>651</v>
      </c>
      <c r="F421" s="41" t="s">
        <v>1342</v>
      </c>
      <c r="G421" s="41" t="s">
        <v>656</v>
      </c>
      <c r="H421" s="41" t="s">
        <v>687</v>
      </c>
      <c r="I421" s="41" t="s">
        <v>700</v>
      </c>
      <c r="J421" s="41" t="s">
        <v>678</v>
      </c>
      <c r="K421" s="41" t="s">
        <v>701</v>
      </c>
      <c r="L421" s="41" t="s">
        <v>680</v>
      </c>
      <c r="M421" s="41">
        <v>0.9</v>
      </c>
      <c r="N421" s="44"/>
    </row>
    <row r="422" customHeight="1" spans="1:14">
      <c r="A422" s="38">
        <v>62</v>
      </c>
      <c r="B422" s="39" t="s">
        <v>1051</v>
      </c>
      <c r="C422" s="39" t="s">
        <v>691</v>
      </c>
      <c r="D422" s="39" t="s">
        <v>645</v>
      </c>
      <c r="E422" s="39" t="s">
        <v>657</v>
      </c>
      <c r="F422" s="39" t="s">
        <v>1343</v>
      </c>
      <c r="G422" s="39" t="s">
        <v>652</v>
      </c>
      <c r="H422" s="39" t="s">
        <v>727</v>
      </c>
      <c r="I422" s="39" t="s">
        <v>688</v>
      </c>
      <c r="J422" s="39" t="s">
        <v>709</v>
      </c>
      <c r="K422" s="39" t="s">
        <v>694</v>
      </c>
      <c r="L422" s="39" t="s">
        <v>743</v>
      </c>
      <c r="M422" s="39">
        <v>0</v>
      </c>
      <c r="N422" s="43"/>
    </row>
    <row r="423" customHeight="1" spans="1:14">
      <c r="A423" s="40">
        <v>63</v>
      </c>
      <c r="B423" s="41" t="s">
        <v>838</v>
      </c>
      <c r="C423" s="41" t="s">
        <v>674</v>
      </c>
      <c r="D423" s="41" t="s">
        <v>645</v>
      </c>
      <c r="E423" s="41" t="s">
        <v>657</v>
      </c>
      <c r="F423" s="41" t="s">
        <v>1344</v>
      </c>
      <c r="G423" s="41" t="s">
        <v>656</v>
      </c>
      <c r="H423" s="41" t="s">
        <v>727</v>
      </c>
      <c r="I423" s="41" t="s">
        <v>708</v>
      </c>
      <c r="J423" s="41" t="s">
        <v>678</v>
      </c>
      <c r="K423" s="41" t="s">
        <v>701</v>
      </c>
      <c r="L423" s="41" t="s">
        <v>743</v>
      </c>
      <c r="M423" s="41">
        <v>0</v>
      </c>
      <c r="N423" s="44"/>
    </row>
    <row r="424" customHeight="1" spans="1:14">
      <c r="A424" s="38">
        <v>64</v>
      </c>
      <c r="B424" s="39" t="s">
        <v>1345</v>
      </c>
      <c r="C424" s="39" t="s">
        <v>674</v>
      </c>
      <c r="D424" s="39" t="s">
        <v>647</v>
      </c>
      <c r="E424" s="39" t="s">
        <v>658</v>
      </c>
      <c r="F424" s="39" t="s">
        <v>1346</v>
      </c>
      <c r="G424" s="39" t="s">
        <v>656</v>
      </c>
      <c r="H424" s="39" t="s">
        <v>687</v>
      </c>
      <c r="I424" s="39" t="s">
        <v>693</v>
      </c>
      <c r="J424" s="39" t="s">
        <v>709</v>
      </c>
      <c r="K424" s="39" t="s">
        <v>701</v>
      </c>
      <c r="L424" s="39" t="s">
        <v>719</v>
      </c>
      <c r="M424" s="39">
        <v>0</v>
      </c>
      <c r="N424" s="43"/>
    </row>
    <row r="425" customHeight="1" spans="1:14">
      <c r="A425" s="40">
        <v>65</v>
      </c>
      <c r="B425" s="41" t="s">
        <v>1347</v>
      </c>
      <c r="C425" s="41" t="s">
        <v>674</v>
      </c>
      <c r="D425" s="41" t="s">
        <v>645</v>
      </c>
      <c r="E425" s="41" t="s">
        <v>657</v>
      </c>
      <c r="F425" s="41" t="s">
        <v>1348</v>
      </c>
      <c r="G425" s="41" t="s">
        <v>655</v>
      </c>
      <c r="H425" s="41" t="s">
        <v>722</v>
      </c>
      <c r="I425" s="41" t="s">
        <v>677</v>
      </c>
      <c r="J425" s="41" t="s">
        <v>709</v>
      </c>
      <c r="K425" s="41" t="s">
        <v>694</v>
      </c>
      <c r="L425" s="41" t="s">
        <v>719</v>
      </c>
      <c r="M425" s="41">
        <v>0</v>
      </c>
      <c r="N425" s="44"/>
    </row>
    <row r="426" customHeight="1" spans="1:14">
      <c r="A426" s="38">
        <v>66</v>
      </c>
      <c r="B426" s="39" t="s">
        <v>1115</v>
      </c>
      <c r="C426" s="39" t="s">
        <v>691</v>
      </c>
      <c r="D426" s="39" t="s">
        <v>644</v>
      </c>
      <c r="E426" s="39" t="s">
        <v>657</v>
      </c>
      <c r="F426" s="39" t="s">
        <v>1349</v>
      </c>
      <c r="G426" s="39" t="s">
        <v>654</v>
      </c>
      <c r="H426" s="39" t="s">
        <v>727</v>
      </c>
      <c r="I426" s="39" t="s">
        <v>708</v>
      </c>
      <c r="J426" s="39" t="s">
        <v>678</v>
      </c>
      <c r="K426" s="39" t="s">
        <v>694</v>
      </c>
      <c r="L426" s="39" t="s">
        <v>715</v>
      </c>
      <c r="M426" s="39">
        <v>0</v>
      </c>
      <c r="N426" s="43"/>
    </row>
    <row r="427" customHeight="1" spans="1:14">
      <c r="A427" s="40">
        <v>67</v>
      </c>
      <c r="B427" s="41" t="s">
        <v>749</v>
      </c>
      <c r="C427" s="41" t="s">
        <v>674</v>
      </c>
      <c r="D427" s="41" t="s">
        <v>639</v>
      </c>
      <c r="E427" s="41" t="s">
        <v>658</v>
      </c>
      <c r="F427" s="41" t="s">
        <v>1350</v>
      </c>
      <c r="G427" s="41" t="s">
        <v>655</v>
      </c>
      <c r="H427" s="41" t="s">
        <v>722</v>
      </c>
      <c r="I427" s="41" t="s">
        <v>708</v>
      </c>
      <c r="J427" s="41" t="s">
        <v>709</v>
      </c>
      <c r="K427" s="41" t="s">
        <v>694</v>
      </c>
      <c r="L427" s="41" t="s">
        <v>743</v>
      </c>
      <c r="M427" s="41">
        <v>0</v>
      </c>
      <c r="N427" s="44"/>
    </row>
    <row r="428" customHeight="1" spans="1:14">
      <c r="A428" s="38">
        <v>68</v>
      </c>
      <c r="B428" s="39" t="s">
        <v>1007</v>
      </c>
      <c r="C428" s="39" t="s">
        <v>674</v>
      </c>
      <c r="D428" s="39" t="s">
        <v>649</v>
      </c>
      <c r="E428" s="39" t="s">
        <v>658</v>
      </c>
      <c r="F428" s="39" t="s">
        <v>1351</v>
      </c>
      <c r="G428" s="39" t="s">
        <v>652</v>
      </c>
      <c r="H428" s="39" t="s">
        <v>683</v>
      </c>
      <c r="I428" s="39" t="s">
        <v>688</v>
      </c>
      <c r="J428" s="39" t="s">
        <v>678</v>
      </c>
      <c r="K428" s="39" t="s">
        <v>701</v>
      </c>
      <c r="L428" s="39" t="s">
        <v>695</v>
      </c>
      <c r="M428" s="39">
        <v>0.6</v>
      </c>
      <c r="N428" s="43"/>
    </row>
    <row r="429" customHeight="1" spans="1:14">
      <c r="A429" s="40">
        <v>69</v>
      </c>
      <c r="B429" s="41" t="s">
        <v>1027</v>
      </c>
      <c r="C429" s="41" t="s">
        <v>691</v>
      </c>
      <c r="D429" s="41" t="s">
        <v>638</v>
      </c>
      <c r="E429" s="41" t="s">
        <v>657</v>
      </c>
      <c r="F429" s="41" t="s">
        <v>1352</v>
      </c>
      <c r="G429" s="41" t="s">
        <v>656</v>
      </c>
      <c r="H429" s="41" t="s">
        <v>687</v>
      </c>
      <c r="I429" s="41" t="s">
        <v>688</v>
      </c>
      <c r="J429" s="41" t="s">
        <v>678</v>
      </c>
      <c r="K429" s="41" t="s">
        <v>732</v>
      </c>
      <c r="L429" s="41" t="s">
        <v>715</v>
      </c>
      <c r="M429" s="41">
        <v>0</v>
      </c>
      <c r="N429" s="44"/>
    </row>
    <row r="430" customHeight="1" spans="1:14">
      <c r="A430" s="38">
        <v>70</v>
      </c>
      <c r="B430" s="39" t="s">
        <v>966</v>
      </c>
      <c r="C430" s="39" t="s">
        <v>674</v>
      </c>
      <c r="D430" s="39" t="s">
        <v>641</v>
      </c>
      <c r="E430" s="39" t="s">
        <v>657</v>
      </c>
      <c r="F430" s="39" t="s">
        <v>1353</v>
      </c>
      <c r="G430" s="39" t="s">
        <v>654</v>
      </c>
      <c r="H430" s="39" t="s">
        <v>722</v>
      </c>
      <c r="I430" s="39" t="s">
        <v>688</v>
      </c>
      <c r="J430" s="39" t="s">
        <v>678</v>
      </c>
      <c r="K430" s="39" t="s">
        <v>710</v>
      </c>
      <c r="L430" s="39" t="s">
        <v>684</v>
      </c>
      <c r="M430" s="39">
        <v>0.85</v>
      </c>
      <c r="N430" s="43"/>
    </row>
    <row r="431" customHeight="1" spans="1:14">
      <c r="A431" s="40">
        <v>71</v>
      </c>
      <c r="B431" s="41" t="s">
        <v>794</v>
      </c>
      <c r="C431" s="41" t="s">
        <v>674</v>
      </c>
      <c r="D431" s="41" t="s">
        <v>647</v>
      </c>
      <c r="E431" s="41" t="s">
        <v>657</v>
      </c>
      <c r="F431" s="41" t="s">
        <v>1354</v>
      </c>
      <c r="G431" s="41" t="s">
        <v>654</v>
      </c>
      <c r="H431" s="41" t="s">
        <v>727</v>
      </c>
      <c r="I431" s="41" t="s">
        <v>708</v>
      </c>
      <c r="J431" s="41" t="s">
        <v>678</v>
      </c>
      <c r="K431" s="41" t="s">
        <v>694</v>
      </c>
      <c r="L431" s="41" t="s">
        <v>695</v>
      </c>
      <c r="M431" s="41">
        <v>0.6</v>
      </c>
      <c r="N431" s="44"/>
    </row>
    <row r="432" customHeight="1" spans="1:14">
      <c r="A432" s="38">
        <v>72</v>
      </c>
      <c r="B432" s="39" t="s">
        <v>1355</v>
      </c>
      <c r="C432" s="39" t="s">
        <v>691</v>
      </c>
      <c r="D432" s="39" t="s">
        <v>645</v>
      </c>
      <c r="E432" s="39" t="s">
        <v>657</v>
      </c>
      <c r="F432" s="39" t="s">
        <v>1356</v>
      </c>
      <c r="G432" s="39" t="s">
        <v>655</v>
      </c>
      <c r="H432" s="39" t="s">
        <v>727</v>
      </c>
      <c r="I432" s="39" t="s">
        <v>677</v>
      </c>
      <c r="J432" s="39" t="s">
        <v>678</v>
      </c>
      <c r="K432" s="39" t="s">
        <v>710</v>
      </c>
      <c r="L432" s="39" t="s">
        <v>695</v>
      </c>
      <c r="M432" s="39">
        <v>0.6</v>
      </c>
      <c r="N432" s="43"/>
    </row>
    <row r="433" customHeight="1" spans="1:14">
      <c r="A433" s="40">
        <v>73</v>
      </c>
      <c r="B433" s="41" t="s">
        <v>866</v>
      </c>
      <c r="C433" s="41" t="s">
        <v>691</v>
      </c>
      <c r="D433" s="41" t="s">
        <v>645</v>
      </c>
      <c r="E433" s="41" t="s">
        <v>658</v>
      </c>
      <c r="F433" s="41" t="s">
        <v>1357</v>
      </c>
      <c r="G433" s="41" t="s">
        <v>656</v>
      </c>
      <c r="H433" s="41" t="s">
        <v>676</v>
      </c>
      <c r="I433" s="41" t="s">
        <v>688</v>
      </c>
      <c r="J433" s="41" t="s">
        <v>678</v>
      </c>
      <c r="K433" s="41" t="s">
        <v>689</v>
      </c>
      <c r="L433" s="41" t="s">
        <v>715</v>
      </c>
      <c r="M433" s="41">
        <v>0</v>
      </c>
      <c r="N433" s="44"/>
    </row>
    <row r="434" customHeight="1" spans="1:14">
      <c r="A434" s="38">
        <v>74</v>
      </c>
      <c r="B434" s="39" t="s">
        <v>802</v>
      </c>
      <c r="C434" s="39" t="s">
        <v>691</v>
      </c>
      <c r="D434" s="39" t="s">
        <v>647</v>
      </c>
      <c r="E434" s="39" t="s">
        <v>657</v>
      </c>
      <c r="F434" s="39" t="s">
        <v>1358</v>
      </c>
      <c r="G434" s="39" t="s">
        <v>652</v>
      </c>
      <c r="H434" s="39" t="s">
        <v>683</v>
      </c>
      <c r="I434" s="39" t="s">
        <v>693</v>
      </c>
      <c r="J434" s="39" t="s">
        <v>709</v>
      </c>
      <c r="K434" s="39" t="s">
        <v>694</v>
      </c>
      <c r="L434" s="39" t="s">
        <v>684</v>
      </c>
      <c r="M434" s="39">
        <v>0.85</v>
      </c>
      <c r="N434" s="43"/>
    </row>
    <row r="435" customHeight="1" spans="1:14">
      <c r="A435" s="40">
        <v>75</v>
      </c>
      <c r="B435" s="41" t="s">
        <v>1099</v>
      </c>
      <c r="C435" s="41" t="s">
        <v>674</v>
      </c>
      <c r="D435" s="41" t="s">
        <v>647</v>
      </c>
      <c r="E435" s="41" t="s">
        <v>657</v>
      </c>
      <c r="F435" s="41" t="s">
        <v>1359</v>
      </c>
      <c r="G435" s="41" t="s">
        <v>655</v>
      </c>
      <c r="H435" s="41" t="s">
        <v>718</v>
      </c>
      <c r="I435" s="41" t="s">
        <v>708</v>
      </c>
      <c r="J435" s="41" t="s">
        <v>678</v>
      </c>
      <c r="K435" s="41" t="s">
        <v>689</v>
      </c>
      <c r="L435" s="41" t="s">
        <v>743</v>
      </c>
      <c r="M435" s="41">
        <v>0</v>
      </c>
      <c r="N435" s="44"/>
    </row>
    <row r="436" customHeight="1" spans="1:14">
      <c r="A436" s="38">
        <v>76</v>
      </c>
      <c r="B436" s="39" t="s">
        <v>1195</v>
      </c>
      <c r="C436" s="39" t="s">
        <v>691</v>
      </c>
      <c r="D436" s="39" t="s">
        <v>640</v>
      </c>
      <c r="E436" s="39" t="s">
        <v>651</v>
      </c>
      <c r="F436" s="39" t="s">
        <v>1360</v>
      </c>
      <c r="G436" s="39" t="s">
        <v>654</v>
      </c>
      <c r="H436" s="39" t="s">
        <v>722</v>
      </c>
      <c r="I436" s="39" t="s">
        <v>708</v>
      </c>
      <c r="J436" s="39" t="s">
        <v>678</v>
      </c>
      <c r="K436" s="39" t="s">
        <v>732</v>
      </c>
      <c r="L436" s="39" t="s">
        <v>695</v>
      </c>
      <c r="M436" s="39">
        <v>0.6</v>
      </c>
      <c r="N436" s="43"/>
    </row>
    <row r="437" customHeight="1" spans="1:14">
      <c r="A437" s="40">
        <v>77</v>
      </c>
      <c r="B437" s="41" t="s">
        <v>1016</v>
      </c>
      <c r="C437" s="41" t="s">
        <v>674</v>
      </c>
      <c r="D437" s="41" t="s">
        <v>647</v>
      </c>
      <c r="E437" s="41" t="s">
        <v>658</v>
      </c>
      <c r="F437" s="41" t="s">
        <v>1361</v>
      </c>
      <c r="G437" s="41" t="s">
        <v>654</v>
      </c>
      <c r="H437" s="41" t="s">
        <v>718</v>
      </c>
      <c r="I437" s="41" t="s">
        <v>700</v>
      </c>
      <c r="J437" s="41" t="s">
        <v>678</v>
      </c>
      <c r="K437" s="41" t="s">
        <v>689</v>
      </c>
      <c r="L437" s="41" t="s">
        <v>684</v>
      </c>
      <c r="M437" s="41">
        <v>0.85</v>
      </c>
      <c r="N437" s="44"/>
    </row>
    <row r="438" customHeight="1" spans="1:14">
      <c r="A438" s="38">
        <v>78</v>
      </c>
      <c r="B438" s="39" t="s">
        <v>1197</v>
      </c>
      <c r="C438" s="39" t="s">
        <v>691</v>
      </c>
      <c r="D438" s="39" t="s">
        <v>638</v>
      </c>
      <c r="E438" s="39" t="s">
        <v>657</v>
      </c>
      <c r="F438" s="39" t="s">
        <v>1362</v>
      </c>
      <c r="G438" s="39" t="s">
        <v>655</v>
      </c>
      <c r="H438" s="39" t="s">
        <v>676</v>
      </c>
      <c r="I438" s="39" t="s">
        <v>700</v>
      </c>
      <c r="J438" s="39" t="s">
        <v>678</v>
      </c>
      <c r="K438" s="39" t="s">
        <v>679</v>
      </c>
      <c r="L438" s="39" t="s">
        <v>719</v>
      </c>
      <c r="M438" s="39">
        <v>0</v>
      </c>
      <c r="N438" s="43"/>
    </row>
    <row r="439" customHeight="1" spans="1:14">
      <c r="A439" s="40">
        <v>79</v>
      </c>
      <c r="B439" s="41" t="s">
        <v>1363</v>
      </c>
      <c r="C439" s="41" t="s">
        <v>691</v>
      </c>
      <c r="D439" s="41" t="s">
        <v>640</v>
      </c>
      <c r="E439" s="41" t="s">
        <v>657</v>
      </c>
      <c r="F439" s="41" t="s">
        <v>1364</v>
      </c>
      <c r="G439" s="41" t="s">
        <v>656</v>
      </c>
      <c r="H439" s="41" t="s">
        <v>687</v>
      </c>
      <c r="I439" s="41" t="s">
        <v>677</v>
      </c>
      <c r="J439" s="41" t="s">
        <v>678</v>
      </c>
      <c r="K439" s="41" t="s">
        <v>689</v>
      </c>
      <c r="L439" s="41" t="s">
        <v>715</v>
      </c>
      <c r="M439" s="41">
        <v>0</v>
      </c>
      <c r="N439" s="44"/>
    </row>
    <row r="440" customHeight="1" spans="1:14">
      <c r="A440" s="38">
        <v>80</v>
      </c>
      <c r="B440" s="39" t="s">
        <v>1036</v>
      </c>
      <c r="C440" s="39" t="s">
        <v>691</v>
      </c>
      <c r="D440" s="39" t="s">
        <v>647</v>
      </c>
      <c r="E440" s="39" t="s">
        <v>657</v>
      </c>
      <c r="F440" s="39" t="s">
        <v>1365</v>
      </c>
      <c r="G440" s="39" t="s">
        <v>655</v>
      </c>
      <c r="H440" s="39" t="s">
        <v>687</v>
      </c>
      <c r="I440" s="39" t="s">
        <v>700</v>
      </c>
      <c r="J440" s="39" t="s">
        <v>709</v>
      </c>
      <c r="K440" s="39" t="s">
        <v>710</v>
      </c>
      <c r="L440" s="39" t="s">
        <v>743</v>
      </c>
      <c r="M440" s="39">
        <v>0</v>
      </c>
      <c r="N440" s="43"/>
    </row>
    <row r="441" customHeight="1" spans="1:14">
      <c r="A441" s="40">
        <v>81</v>
      </c>
      <c r="B441" s="41" t="s">
        <v>774</v>
      </c>
      <c r="C441" s="41" t="s">
        <v>674</v>
      </c>
      <c r="D441" s="41" t="s">
        <v>640</v>
      </c>
      <c r="E441" s="41" t="s">
        <v>658</v>
      </c>
      <c r="F441" s="41" t="s">
        <v>1366</v>
      </c>
      <c r="G441" s="41" t="s">
        <v>654</v>
      </c>
      <c r="H441" s="41" t="s">
        <v>676</v>
      </c>
      <c r="I441" s="41" t="s">
        <v>677</v>
      </c>
      <c r="J441" s="41" t="s">
        <v>678</v>
      </c>
      <c r="K441" s="41" t="s">
        <v>710</v>
      </c>
      <c r="L441" s="41" t="s">
        <v>743</v>
      </c>
      <c r="M441" s="41">
        <v>0</v>
      </c>
      <c r="N441" s="44"/>
    </row>
    <row r="442" customHeight="1" spans="1:14">
      <c r="A442" s="38">
        <v>82</v>
      </c>
      <c r="B442" s="39" t="s">
        <v>1367</v>
      </c>
      <c r="C442" s="39" t="s">
        <v>691</v>
      </c>
      <c r="D442" s="39" t="s">
        <v>644</v>
      </c>
      <c r="E442" s="39" t="s">
        <v>658</v>
      </c>
      <c r="F442" s="39" t="s">
        <v>1368</v>
      </c>
      <c r="G442" s="39" t="s">
        <v>652</v>
      </c>
      <c r="H442" s="39" t="s">
        <v>676</v>
      </c>
      <c r="I442" s="39" t="s">
        <v>688</v>
      </c>
      <c r="J442" s="39" t="s">
        <v>678</v>
      </c>
      <c r="K442" s="39" t="s">
        <v>732</v>
      </c>
      <c r="L442" s="39" t="s">
        <v>715</v>
      </c>
      <c r="M442" s="39">
        <v>0</v>
      </c>
      <c r="N442" s="43"/>
    </row>
    <row r="443" customHeight="1" spans="1:14">
      <c r="A443" s="40">
        <v>83</v>
      </c>
      <c r="B443" s="41" t="s">
        <v>1347</v>
      </c>
      <c r="C443" s="41" t="s">
        <v>674</v>
      </c>
      <c r="D443" s="41" t="s">
        <v>645</v>
      </c>
      <c r="E443" s="41" t="s">
        <v>657</v>
      </c>
      <c r="F443" s="41" t="s">
        <v>1369</v>
      </c>
      <c r="G443" s="41" t="s">
        <v>654</v>
      </c>
      <c r="H443" s="41" t="s">
        <v>718</v>
      </c>
      <c r="I443" s="41" t="s">
        <v>677</v>
      </c>
      <c r="J443" s="41" t="s">
        <v>678</v>
      </c>
      <c r="K443" s="41" t="s">
        <v>710</v>
      </c>
      <c r="L443" s="41" t="s">
        <v>680</v>
      </c>
      <c r="M443" s="41">
        <v>0.9</v>
      </c>
      <c r="N443" s="44"/>
    </row>
    <row r="444" customHeight="1" spans="1:14">
      <c r="A444" s="38">
        <v>84</v>
      </c>
      <c r="B444" s="39" t="s">
        <v>939</v>
      </c>
      <c r="C444" s="39" t="s">
        <v>691</v>
      </c>
      <c r="D444" s="39" t="s">
        <v>646</v>
      </c>
      <c r="E444" s="39" t="s">
        <v>658</v>
      </c>
      <c r="F444" s="39" t="s">
        <v>1370</v>
      </c>
      <c r="G444" s="39" t="s">
        <v>653</v>
      </c>
      <c r="H444" s="39" t="s">
        <v>722</v>
      </c>
      <c r="I444" s="39" t="s">
        <v>693</v>
      </c>
      <c r="J444" s="39" t="s">
        <v>709</v>
      </c>
      <c r="K444" s="39" t="s">
        <v>732</v>
      </c>
      <c r="L444" s="39" t="s">
        <v>684</v>
      </c>
      <c r="M444" s="39">
        <v>0.85</v>
      </c>
      <c r="N444" s="43"/>
    </row>
    <row r="445" customHeight="1" spans="1:14">
      <c r="A445" s="40">
        <v>85</v>
      </c>
      <c r="B445" s="41" t="s">
        <v>999</v>
      </c>
      <c r="C445" s="41" t="s">
        <v>674</v>
      </c>
      <c r="D445" s="41" t="s">
        <v>647</v>
      </c>
      <c r="E445" s="41" t="s">
        <v>651</v>
      </c>
      <c r="F445" s="41" t="s">
        <v>1371</v>
      </c>
      <c r="G445" s="41" t="s">
        <v>656</v>
      </c>
      <c r="H445" s="41" t="s">
        <v>722</v>
      </c>
      <c r="I445" s="41" t="s">
        <v>693</v>
      </c>
      <c r="J445" s="41" t="s">
        <v>678</v>
      </c>
      <c r="K445" s="41" t="s">
        <v>710</v>
      </c>
      <c r="L445" s="41" t="s">
        <v>715</v>
      </c>
      <c r="M445" s="41">
        <v>0</v>
      </c>
      <c r="N445" s="44"/>
    </row>
    <row r="446" customHeight="1" spans="1:14">
      <c r="A446" s="38">
        <v>86</v>
      </c>
      <c r="B446" s="39" t="s">
        <v>1372</v>
      </c>
      <c r="C446" s="39" t="s">
        <v>674</v>
      </c>
      <c r="D446" s="39" t="s">
        <v>644</v>
      </c>
      <c r="E446" s="39" t="s">
        <v>658</v>
      </c>
      <c r="F446" s="39" t="s">
        <v>1373</v>
      </c>
      <c r="G446" s="39" t="s">
        <v>656</v>
      </c>
      <c r="H446" s="39" t="s">
        <v>727</v>
      </c>
      <c r="I446" s="39" t="s">
        <v>700</v>
      </c>
      <c r="J446" s="39" t="s">
        <v>678</v>
      </c>
      <c r="K446" s="39" t="s">
        <v>689</v>
      </c>
      <c r="L446" s="39" t="s">
        <v>684</v>
      </c>
      <c r="M446" s="39">
        <v>0.85</v>
      </c>
      <c r="N446" s="43"/>
    </row>
    <row r="447" customHeight="1" spans="1:14">
      <c r="A447" s="40">
        <v>87</v>
      </c>
      <c r="B447" s="41" t="s">
        <v>1252</v>
      </c>
      <c r="C447" s="41" t="s">
        <v>691</v>
      </c>
      <c r="D447" s="41" t="s">
        <v>641</v>
      </c>
      <c r="E447" s="41" t="s">
        <v>658</v>
      </c>
      <c r="F447" s="41" t="s">
        <v>1374</v>
      </c>
      <c r="G447" s="41" t="s">
        <v>654</v>
      </c>
      <c r="H447" s="41" t="s">
        <v>687</v>
      </c>
      <c r="I447" s="41" t="s">
        <v>688</v>
      </c>
      <c r="J447" s="41" t="s">
        <v>678</v>
      </c>
      <c r="K447" s="41" t="s">
        <v>732</v>
      </c>
      <c r="L447" s="41" t="s">
        <v>743</v>
      </c>
      <c r="M447" s="41">
        <v>0</v>
      </c>
      <c r="N447" s="44"/>
    </row>
    <row r="448" customHeight="1" spans="1:14">
      <c r="A448" s="38">
        <v>88</v>
      </c>
      <c r="B448" s="39" t="s">
        <v>1375</v>
      </c>
      <c r="C448" s="39" t="s">
        <v>691</v>
      </c>
      <c r="D448" s="39" t="s">
        <v>644</v>
      </c>
      <c r="E448" s="39" t="s">
        <v>658</v>
      </c>
      <c r="F448" s="39" t="s">
        <v>1376</v>
      </c>
      <c r="G448" s="39" t="s">
        <v>653</v>
      </c>
      <c r="H448" s="39" t="s">
        <v>687</v>
      </c>
      <c r="I448" s="39" t="s">
        <v>693</v>
      </c>
      <c r="J448" s="39" t="s">
        <v>709</v>
      </c>
      <c r="K448" s="39" t="s">
        <v>710</v>
      </c>
      <c r="L448" s="39" t="s">
        <v>684</v>
      </c>
      <c r="M448" s="39">
        <v>0.85</v>
      </c>
      <c r="N448" s="43"/>
    </row>
    <row r="449" customHeight="1" spans="1:14">
      <c r="A449" s="40">
        <v>89</v>
      </c>
      <c r="B449" s="41" t="s">
        <v>762</v>
      </c>
      <c r="C449" s="41" t="s">
        <v>691</v>
      </c>
      <c r="D449" s="41" t="s">
        <v>646</v>
      </c>
      <c r="E449" s="41" t="s">
        <v>651</v>
      </c>
      <c r="F449" s="41" t="s">
        <v>1377</v>
      </c>
      <c r="G449" s="41" t="s">
        <v>652</v>
      </c>
      <c r="H449" s="41" t="s">
        <v>707</v>
      </c>
      <c r="I449" s="41" t="s">
        <v>693</v>
      </c>
      <c r="J449" s="41" t="s">
        <v>678</v>
      </c>
      <c r="K449" s="41" t="s">
        <v>701</v>
      </c>
      <c r="L449" s="41" t="s">
        <v>680</v>
      </c>
      <c r="M449" s="41">
        <v>0.9</v>
      </c>
      <c r="N449" s="44"/>
    </row>
    <row r="450" customHeight="1" spans="1:14">
      <c r="A450" s="38">
        <v>90</v>
      </c>
      <c r="B450" s="39" t="s">
        <v>1378</v>
      </c>
      <c r="C450" s="39" t="s">
        <v>691</v>
      </c>
      <c r="D450" s="39" t="s">
        <v>639</v>
      </c>
      <c r="E450" s="39" t="s">
        <v>657</v>
      </c>
      <c r="F450" s="39" t="s">
        <v>1379</v>
      </c>
      <c r="G450" s="39" t="s">
        <v>656</v>
      </c>
      <c r="H450" s="39" t="s">
        <v>727</v>
      </c>
      <c r="I450" s="39" t="s">
        <v>708</v>
      </c>
      <c r="J450" s="39" t="s">
        <v>709</v>
      </c>
      <c r="K450" s="39" t="s">
        <v>694</v>
      </c>
      <c r="L450" s="39" t="s">
        <v>684</v>
      </c>
      <c r="M450" s="39">
        <v>0.85</v>
      </c>
      <c r="N450" s="43"/>
    </row>
    <row r="451" customHeight="1" spans="1:14">
      <c r="A451" s="40">
        <v>91</v>
      </c>
      <c r="B451" s="41" t="s">
        <v>786</v>
      </c>
      <c r="C451" s="41" t="s">
        <v>691</v>
      </c>
      <c r="D451" s="41" t="s">
        <v>646</v>
      </c>
      <c r="E451" s="41" t="s">
        <v>658</v>
      </c>
      <c r="F451" s="41" t="s">
        <v>1380</v>
      </c>
      <c r="G451" s="41" t="s">
        <v>656</v>
      </c>
      <c r="H451" s="41" t="s">
        <v>683</v>
      </c>
      <c r="I451" s="41" t="s">
        <v>677</v>
      </c>
      <c r="J451" s="41" t="s">
        <v>678</v>
      </c>
      <c r="K451" s="41" t="s">
        <v>710</v>
      </c>
      <c r="L451" s="41" t="s">
        <v>719</v>
      </c>
      <c r="M451" s="41">
        <v>0</v>
      </c>
      <c r="N451" s="44"/>
    </row>
    <row r="452" customHeight="1" spans="1:14">
      <c r="A452" s="38">
        <v>92</v>
      </c>
      <c r="B452" s="39" t="s">
        <v>1145</v>
      </c>
      <c r="C452" s="39" t="s">
        <v>691</v>
      </c>
      <c r="D452" s="39" t="s">
        <v>639</v>
      </c>
      <c r="E452" s="39" t="s">
        <v>657</v>
      </c>
      <c r="F452" s="39" t="s">
        <v>1381</v>
      </c>
      <c r="G452" s="39" t="s">
        <v>652</v>
      </c>
      <c r="H452" s="39" t="s">
        <v>718</v>
      </c>
      <c r="I452" s="39" t="s">
        <v>693</v>
      </c>
      <c r="J452" s="39" t="s">
        <v>709</v>
      </c>
      <c r="K452" s="39" t="s">
        <v>679</v>
      </c>
      <c r="L452" s="39" t="s">
        <v>743</v>
      </c>
      <c r="M452" s="39">
        <v>0</v>
      </c>
      <c r="N452" s="43"/>
    </row>
    <row r="453" customHeight="1" spans="1:14">
      <c r="A453" s="40">
        <v>93</v>
      </c>
      <c r="B453" s="41" t="s">
        <v>1382</v>
      </c>
      <c r="C453" s="41" t="s">
        <v>691</v>
      </c>
      <c r="D453" s="41" t="s">
        <v>641</v>
      </c>
      <c r="E453" s="41" t="s">
        <v>657</v>
      </c>
      <c r="F453" s="41" t="s">
        <v>1383</v>
      </c>
      <c r="G453" s="41" t="s">
        <v>656</v>
      </c>
      <c r="H453" s="41" t="s">
        <v>707</v>
      </c>
      <c r="I453" s="41" t="s">
        <v>677</v>
      </c>
      <c r="J453" s="41" t="s">
        <v>709</v>
      </c>
      <c r="K453" s="41" t="s">
        <v>710</v>
      </c>
      <c r="L453" s="41" t="s">
        <v>715</v>
      </c>
      <c r="M453" s="41">
        <v>0</v>
      </c>
      <c r="N453" s="44"/>
    </row>
    <row r="454" customHeight="1" spans="1:14">
      <c r="A454" s="38">
        <v>94</v>
      </c>
      <c r="B454" s="39" t="s">
        <v>1384</v>
      </c>
      <c r="C454" s="39" t="s">
        <v>691</v>
      </c>
      <c r="D454" s="39" t="s">
        <v>647</v>
      </c>
      <c r="E454" s="39" t="s">
        <v>657</v>
      </c>
      <c r="F454" s="39" t="s">
        <v>1385</v>
      </c>
      <c r="G454" s="39" t="s">
        <v>656</v>
      </c>
      <c r="H454" s="39" t="s">
        <v>707</v>
      </c>
      <c r="I454" s="39" t="s">
        <v>688</v>
      </c>
      <c r="J454" s="39" t="s">
        <v>678</v>
      </c>
      <c r="K454" s="39" t="s">
        <v>689</v>
      </c>
      <c r="L454" s="39" t="s">
        <v>715</v>
      </c>
      <c r="M454" s="39">
        <v>0</v>
      </c>
      <c r="N454" s="43"/>
    </row>
    <row r="455" customHeight="1" spans="1:14">
      <c r="A455" s="40">
        <v>95</v>
      </c>
      <c r="B455" s="41" t="s">
        <v>1260</v>
      </c>
      <c r="C455" s="41" t="s">
        <v>691</v>
      </c>
      <c r="D455" s="41" t="s">
        <v>646</v>
      </c>
      <c r="E455" s="41" t="s">
        <v>651</v>
      </c>
      <c r="F455" s="41" t="s">
        <v>1386</v>
      </c>
      <c r="G455" s="41" t="s">
        <v>655</v>
      </c>
      <c r="H455" s="41" t="s">
        <v>676</v>
      </c>
      <c r="I455" s="41" t="s">
        <v>677</v>
      </c>
      <c r="J455" s="41" t="s">
        <v>709</v>
      </c>
      <c r="K455" s="41" t="s">
        <v>689</v>
      </c>
      <c r="L455" s="41" t="s">
        <v>684</v>
      </c>
      <c r="M455" s="41">
        <v>0.85</v>
      </c>
      <c r="N455" s="44"/>
    </row>
    <row r="456" customHeight="1" spans="1:14">
      <c r="A456" s="38">
        <v>96</v>
      </c>
      <c r="B456" s="39" t="s">
        <v>1387</v>
      </c>
      <c r="C456" s="39" t="s">
        <v>691</v>
      </c>
      <c r="D456" s="39" t="s">
        <v>647</v>
      </c>
      <c r="E456" s="39" t="s">
        <v>657</v>
      </c>
      <c r="F456" s="39" t="s">
        <v>1388</v>
      </c>
      <c r="G456" s="39" t="s">
        <v>656</v>
      </c>
      <c r="H456" s="39" t="s">
        <v>707</v>
      </c>
      <c r="I456" s="39" t="s">
        <v>700</v>
      </c>
      <c r="J456" s="39" t="s">
        <v>709</v>
      </c>
      <c r="K456" s="39" t="s">
        <v>689</v>
      </c>
      <c r="L456" s="39" t="s">
        <v>680</v>
      </c>
      <c r="M456" s="39">
        <v>0.9</v>
      </c>
      <c r="N456" s="43"/>
    </row>
    <row r="457" customHeight="1" spans="1:14">
      <c r="A457" s="40">
        <v>97</v>
      </c>
      <c r="B457" s="41" t="s">
        <v>977</v>
      </c>
      <c r="C457" s="41" t="s">
        <v>691</v>
      </c>
      <c r="D457" s="41" t="s">
        <v>647</v>
      </c>
      <c r="E457" s="41" t="s">
        <v>657</v>
      </c>
      <c r="F457" s="41" t="s">
        <v>1389</v>
      </c>
      <c r="G457" s="41" t="s">
        <v>653</v>
      </c>
      <c r="H457" s="41" t="s">
        <v>687</v>
      </c>
      <c r="I457" s="41" t="s">
        <v>693</v>
      </c>
      <c r="J457" s="41" t="s">
        <v>678</v>
      </c>
      <c r="K457" s="41" t="s">
        <v>732</v>
      </c>
      <c r="L457" s="41" t="s">
        <v>719</v>
      </c>
      <c r="M457" s="41">
        <v>0</v>
      </c>
      <c r="N457" s="44"/>
    </row>
    <row r="458" customHeight="1" spans="1:14">
      <c r="A458" s="38">
        <v>98</v>
      </c>
      <c r="B458" s="39" t="s">
        <v>898</v>
      </c>
      <c r="C458" s="39" t="s">
        <v>691</v>
      </c>
      <c r="D458" s="39" t="s">
        <v>642</v>
      </c>
      <c r="E458" s="39" t="s">
        <v>658</v>
      </c>
      <c r="F458" s="39" t="s">
        <v>1390</v>
      </c>
      <c r="G458" s="39" t="s">
        <v>653</v>
      </c>
      <c r="H458" s="39" t="s">
        <v>683</v>
      </c>
      <c r="I458" s="39" t="s">
        <v>708</v>
      </c>
      <c r="J458" s="39" t="s">
        <v>678</v>
      </c>
      <c r="K458" s="39" t="s">
        <v>732</v>
      </c>
      <c r="L458" s="39" t="s">
        <v>715</v>
      </c>
      <c r="M458" s="39">
        <v>0</v>
      </c>
      <c r="N458" s="43"/>
    </row>
    <row r="459" customHeight="1" spans="1:14">
      <c r="A459" s="40">
        <v>99</v>
      </c>
      <c r="B459" s="41" t="s">
        <v>733</v>
      </c>
      <c r="C459" s="41" t="s">
        <v>674</v>
      </c>
      <c r="D459" s="41" t="s">
        <v>648</v>
      </c>
      <c r="E459" s="41" t="s">
        <v>658</v>
      </c>
      <c r="F459" s="41" t="s">
        <v>1391</v>
      </c>
      <c r="G459" s="41" t="s">
        <v>652</v>
      </c>
      <c r="H459" s="41" t="s">
        <v>718</v>
      </c>
      <c r="I459" s="41" t="s">
        <v>677</v>
      </c>
      <c r="J459" s="41" t="s">
        <v>678</v>
      </c>
      <c r="K459" s="41" t="s">
        <v>710</v>
      </c>
      <c r="L459" s="41" t="s">
        <v>743</v>
      </c>
      <c r="M459" s="41">
        <v>0</v>
      </c>
      <c r="N459" s="44"/>
    </row>
    <row r="460" customHeight="1" spans="1:14">
      <c r="A460" s="38">
        <v>100</v>
      </c>
      <c r="B460" s="39" t="s">
        <v>884</v>
      </c>
      <c r="C460" s="39" t="s">
        <v>674</v>
      </c>
      <c r="D460" s="39" t="s">
        <v>647</v>
      </c>
      <c r="E460" s="39" t="s">
        <v>651</v>
      </c>
      <c r="F460" s="39" t="s">
        <v>1392</v>
      </c>
      <c r="G460" s="39" t="s">
        <v>652</v>
      </c>
      <c r="H460" s="39" t="s">
        <v>707</v>
      </c>
      <c r="I460" s="39" t="s">
        <v>688</v>
      </c>
      <c r="J460" s="39" t="s">
        <v>678</v>
      </c>
      <c r="K460" s="39" t="s">
        <v>710</v>
      </c>
      <c r="L460" s="39" t="s">
        <v>680</v>
      </c>
      <c r="M460" s="39">
        <v>0.9</v>
      </c>
      <c r="N460" s="43"/>
    </row>
    <row r="461" customHeight="1" spans="1:14">
      <c r="A461" s="40">
        <v>101</v>
      </c>
      <c r="B461" s="41" t="s">
        <v>1174</v>
      </c>
      <c r="C461" s="41" t="s">
        <v>691</v>
      </c>
      <c r="D461" s="41" t="s">
        <v>639</v>
      </c>
      <c r="E461" s="41" t="s">
        <v>658</v>
      </c>
      <c r="F461" s="41" t="s">
        <v>1393</v>
      </c>
      <c r="G461" s="41" t="s">
        <v>655</v>
      </c>
      <c r="H461" s="41" t="s">
        <v>722</v>
      </c>
      <c r="I461" s="41" t="s">
        <v>708</v>
      </c>
      <c r="J461" s="41" t="s">
        <v>709</v>
      </c>
      <c r="K461" s="41" t="s">
        <v>694</v>
      </c>
      <c r="L461" s="41" t="s">
        <v>680</v>
      </c>
      <c r="M461" s="41">
        <v>0.9</v>
      </c>
      <c r="N461" s="44"/>
    </row>
    <row r="462" customHeight="1" spans="1:14">
      <c r="A462" s="38">
        <v>102</v>
      </c>
      <c r="B462" s="39" t="s">
        <v>1027</v>
      </c>
      <c r="C462" s="39" t="s">
        <v>691</v>
      </c>
      <c r="D462" s="39" t="s">
        <v>638</v>
      </c>
      <c r="E462" s="39" t="s">
        <v>657</v>
      </c>
      <c r="F462" s="39" t="s">
        <v>1394</v>
      </c>
      <c r="G462" s="39" t="s">
        <v>653</v>
      </c>
      <c r="H462" s="39" t="s">
        <v>683</v>
      </c>
      <c r="I462" s="39" t="s">
        <v>693</v>
      </c>
      <c r="J462" s="39" t="s">
        <v>709</v>
      </c>
      <c r="K462" s="39" t="s">
        <v>710</v>
      </c>
      <c r="L462" s="39" t="s">
        <v>719</v>
      </c>
      <c r="M462" s="39">
        <v>0</v>
      </c>
      <c r="N462" s="43"/>
    </row>
    <row r="463" customHeight="1" spans="1:14">
      <c r="A463" s="40">
        <v>103</v>
      </c>
      <c r="B463" s="41" t="s">
        <v>1029</v>
      </c>
      <c r="C463" s="41" t="s">
        <v>691</v>
      </c>
      <c r="D463" s="41" t="s">
        <v>647</v>
      </c>
      <c r="E463" s="41" t="s">
        <v>658</v>
      </c>
      <c r="F463" s="41" t="s">
        <v>1395</v>
      </c>
      <c r="G463" s="41" t="s">
        <v>653</v>
      </c>
      <c r="H463" s="41" t="s">
        <v>683</v>
      </c>
      <c r="I463" s="41" t="s">
        <v>688</v>
      </c>
      <c r="J463" s="41" t="s">
        <v>678</v>
      </c>
      <c r="K463" s="41" t="s">
        <v>701</v>
      </c>
      <c r="L463" s="41" t="s">
        <v>715</v>
      </c>
      <c r="M463" s="41">
        <v>0</v>
      </c>
      <c r="N463" s="44"/>
    </row>
    <row r="464" customHeight="1" spans="1:14">
      <c r="A464" s="38">
        <v>104</v>
      </c>
      <c r="B464" s="39" t="s">
        <v>1003</v>
      </c>
      <c r="C464" s="39" t="s">
        <v>691</v>
      </c>
      <c r="D464" s="39" t="s">
        <v>641</v>
      </c>
      <c r="E464" s="39" t="s">
        <v>658</v>
      </c>
      <c r="F464" s="39" t="s">
        <v>1396</v>
      </c>
      <c r="G464" s="39" t="s">
        <v>655</v>
      </c>
      <c r="H464" s="39" t="s">
        <v>683</v>
      </c>
      <c r="I464" s="39" t="s">
        <v>677</v>
      </c>
      <c r="J464" s="39" t="s">
        <v>709</v>
      </c>
      <c r="K464" s="39" t="s">
        <v>710</v>
      </c>
      <c r="L464" s="39" t="s">
        <v>680</v>
      </c>
      <c r="M464" s="39">
        <v>0.9</v>
      </c>
      <c r="N464" s="43"/>
    </row>
    <row r="465" customHeight="1" spans="1:14">
      <c r="A465" s="40">
        <v>105</v>
      </c>
      <c r="B465" s="41" t="s">
        <v>1397</v>
      </c>
      <c r="C465" s="41" t="s">
        <v>691</v>
      </c>
      <c r="D465" s="41" t="s">
        <v>639</v>
      </c>
      <c r="E465" s="41" t="s">
        <v>657</v>
      </c>
      <c r="F465" s="41" t="s">
        <v>1398</v>
      </c>
      <c r="G465" s="41" t="s">
        <v>654</v>
      </c>
      <c r="H465" s="41" t="s">
        <v>718</v>
      </c>
      <c r="I465" s="41" t="s">
        <v>700</v>
      </c>
      <c r="J465" s="41" t="s">
        <v>678</v>
      </c>
      <c r="K465" s="41" t="s">
        <v>701</v>
      </c>
      <c r="L465" s="41" t="s">
        <v>684</v>
      </c>
      <c r="M465" s="41">
        <v>0.85</v>
      </c>
      <c r="N465" s="44"/>
    </row>
    <row r="466" customHeight="1" spans="1:14">
      <c r="A466" s="38">
        <v>106</v>
      </c>
      <c r="B466" s="39" t="s">
        <v>705</v>
      </c>
      <c r="C466" s="39" t="s">
        <v>691</v>
      </c>
      <c r="D466" s="39" t="s">
        <v>649</v>
      </c>
      <c r="E466" s="39" t="s">
        <v>658</v>
      </c>
      <c r="F466" s="39" t="s">
        <v>1399</v>
      </c>
      <c r="G466" s="39" t="s">
        <v>653</v>
      </c>
      <c r="H466" s="39" t="s">
        <v>676</v>
      </c>
      <c r="I466" s="39" t="s">
        <v>700</v>
      </c>
      <c r="J466" s="39" t="s">
        <v>678</v>
      </c>
      <c r="K466" s="39" t="s">
        <v>701</v>
      </c>
      <c r="L466" s="39" t="s">
        <v>680</v>
      </c>
      <c r="M466" s="39">
        <v>0.9</v>
      </c>
      <c r="N466" s="43"/>
    </row>
    <row r="467" customHeight="1" spans="1:14">
      <c r="A467" s="40">
        <v>107</v>
      </c>
      <c r="B467" s="41" t="s">
        <v>939</v>
      </c>
      <c r="C467" s="41" t="s">
        <v>691</v>
      </c>
      <c r="D467" s="41" t="s">
        <v>646</v>
      </c>
      <c r="E467" s="41" t="s">
        <v>658</v>
      </c>
      <c r="F467" s="41" t="s">
        <v>1400</v>
      </c>
      <c r="G467" s="41" t="s">
        <v>656</v>
      </c>
      <c r="H467" s="41" t="s">
        <v>727</v>
      </c>
      <c r="I467" s="41" t="s">
        <v>700</v>
      </c>
      <c r="J467" s="41" t="s">
        <v>709</v>
      </c>
      <c r="K467" s="41" t="s">
        <v>732</v>
      </c>
      <c r="L467" s="41" t="s">
        <v>743</v>
      </c>
      <c r="M467" s="41">
        <v>0</v>
      </c>
      <c r="N467" s="44"/>
    </row>
    <row r="468" customHeight="1" spans="1:14">
      <c r="A468" s="38">
        <v>108</v>
      </c>
      <c r="B468" s="39" t="s">
        <v>1401</v>
      </c>
      <c r="C468" s="39" t="s">
        <v>691</v>
      </c>
      <c r="D468" s="39" t="s">
        <v>639</v>
      </c>
      <c r="E468" s="39" t="s">
        <v>657</v>
      </c>
      <c r="F468" s="39" t="s">
        <v>1402</v>
      </c>
      <c r="G468" s="39" t="s">
        <v>656</v>
      </c>
      <c r="H468" s="39" t="s">
        <v>683</v>
      </c>
      <c r="I468" s="39" t="s">
        <v>708</v>
      </c>
      <c r="J468" s="39" t="s">
        <v>678</v>
      </c>
      <c r="K468" s="39" t="s">
        <v>694</v>
      </c>
      <c r="L468" s="39" t="s">
        <v>684</v>
      </c>
      <c r="M468" s="39">
        <v>0.85</v>
      </c>
      <c r="N468" s="43"/>
    </row>
    <row r="469" customHeight="1" spans="1:14">
      <c r="A469" s="40">
        <v>109</v>
      </c>
      <c r="B469" s="41" t="s">
        <v>956</v>
      </c>
      <c r="C469" s="41" t="s">
        <v>691</v>
      </c>
      <c r="D469" s="41" t="s">
        <v>645</v>
      </c>
      <c r="E469" s="41" t="s">
        <v>658</v>
      </c>
      <c r="F469" s="41" t="s">
        <v>1403</v>
      </c>
      <c r="G469" s="41" t="s">
        <v>656</v>
      </c>
      <c r="H469" s="41" t="s">
        <v>707</v>
      </c>
      <c r="I469" s="41" t="s">
        <v>677</v>
      </c>
      <c r="J469" s="41" t="s">
        <v>678</v>
      </c>
      <c r="K469" s="41" t="s">
        <v>701</v>
      </c>
      <c r="L469" s="41" t="s">
        <v>719</v>
      </c>
      <c r="M469" s="41">
        <v>0</v>
      </c>
      <c r="N469" s="44"/>
    </row>
    <row r="470" customHeight="1" spans="1:14">
      <c r="A470" s="38">
        <v>110</v>
      </c>
      <c r="B470" s="39" t="s">
        <v>1267</v>
      </c>
      <c r="C470" s="39" t="s">
        <v>691</v>
      </c>
      <c r="D470" s="39" t="s">
        <v>639</v>
      </c>
      <c r="E470" s="39" t="s">
        <v>658</v>
      </c>
      <c r="F470" s="39" t="s">
        <v>1404</v>
      </c>
      <c r="G470" s="39" t="s">
        <v>655</v>
      </c>
      <c r="H470" s="39" t="s">
        <v>683</v>
      </c>
      <c r="I470" s="39" t="s">
        <v>677</v>
      </c>
      <c r="J470" s="39" t="s">
        <v>678</v>
      </c>
      <c r="K470" s="39" t="s">
        <v>701</v>
      </c>
      <c r="L470" s="39" t="s">
        <v>695</v>
      </c>
      <c r="M470" s="39">
        <v>0.6</v>
      </c>
      <c r="N470" s="43"/>
    </row>
    <row r="471" customHeight="1" spans="1:14">
      <c r="A471" s="40">
        <v>111</v>
      </c>
      <c r="B471" s="41" t="s">
        <v>1061</v>
      </c>
      <c r="C471" s="41" t="s">
        <v>691</v>
      </c>
      <c r="D471" s="41" t="s">
        <v>638</v>
      </c>
      <c r="E471" s="41" t="s">
        <v>651</v>
      </c>
      <c r="F471" s="41" t="s">
        <v>1405</v>
      </c>
      <c r="G471" s="41" t="s">
        <v>656</v>
      </c>
      <c r="H471" s="41" t="s">
        <v>676</v>
      </c>
      <c r="I471" s="41" t="s">
        <v>700</v>
      </c>
      <c r="J471" s="41" t="s">
        <v>709</v>
      </c>
      <c r="K471" s="41" t="s">
        <v>701</v>
      </c>
      <c r="L471" s="41" t="s">
        <v>684</v>
      </c>
      <c r="M471" s="41">
        <v>0.85</v>
      </c>
      <c r="N471" s="44"/>
    </row>
    <row r="472" customHeight="1" spans="1:14">
      <c r="A472" s="38">
        <v>112</v>
      </c>
      <c r="B472" s="39" t="s">
        <v>1406</v>
      </c>
      <c r="C472" s="39" t="s">
        <v>691</v>
      </c>
      <c r="D472" s="39" t="s">
        <v>647</v>
      </c>
      <c r="E472" s="39" t="s">
        <v>657</v>
      </c>
      <c r="F472" s="39" t="s">
        <v>1407</v>
      </c>
      <c r="G472" s="39" t="s">
        <v>654</v>
      </c>
      <c r="H472" s="39" t="s">
        <v>727</v>
      </c>
      <c r="I472" s="39" t="s">
        <v>708</v>
      </c>
      <c r="J472" s="39" t="s">
        <v>678</v>
      </c>
      <c r="K472" s="39" t="s">
        <v>679</v>
      </c>
      <c r="L472" s="39" t="s">
        <v>743</v>
      </c>
      <c r="M472" s="39">
        <v>0</v>
      </c>
      <c r="N472" s="43"/>
    </row>
    <row r="473" customHeight="1" spans="1:14">
      <c r="A473" s="40">
        <v>113</v>
      </c>
      <c r="B473" s="41" t="s">
        <v>1126</v>
      </c>
      <c r="C473" s="41" t="s">
        <v>691</v>
      </c>
      <c r="D473" s="41" t="s">
        <v>646</v>
      </c>
      <c r="E473" s="41" t="s">
        <v>658</v>
      </c>
      <c r="F473" s="41" t="s">
        <v>1408</v>
      </c>
      <c r="G473" s="41" t="s">
        <v>654</v>
      </c>
      <c r="H473" s="41" t="s">
        <v>676</v>
      </c>
      <c r="I473" s="41" t="s">
        <v>693</v>
      </c>
      <c r="J473" s="41" t="s">
        <v>678</v>
      </c>
      <c r="K473" s="41" t="s">
        <v>694</v>
      </c>
      <c r="L473" s="41" t="s">
        <v>680</v>
      </c>
      <c r="M473" s="41">
        <v>0.9</v>
      </c>
      <c r="N473" s="44"/>
    </row>
    <row r="474" customHeight="1" spans="1:14">
      <c r="A474" s="38">
        <v>114</v>
      </c>
      <c r="B474" s="39" t="s">
        <v>849</v>
      </c>
      <c r="C474" s="39" t="s">
        <v>691</v>
      </c>
      <c r="D474" s="39" t="s">
        <v>646</v>
      </c>
      <c r="E474" s="39" t="s">
        <v>657</v>
      </c>
      <c r="F474" s="39" t="s">
        <v>1409</v>
      </c>
      <c r="G474" s="39" t="s">
        <v>652</v>
      </c>
      <c r="H474" s="39" t="s">
        <v>683</v>
      </c>
      <c r="I474" s="39" t="s">
        <v>708</v>
      </c>
      <c r="J474" s="39" t="s">
        <v>709</v>
      </c>
      <c r="K474" s="39" t="s">
        <v>701</v>
      </c>
      <c r="L474" s="39" t="s">
        <v>743</v>
      </c>
      <c r="M474" s="39">
        <v>0</v>
      </c>
      <c r="N474" s="43"/>
    </row>
    <row r="475" customHeight="1" spans="1:14">
      <c r="A475" s="40">
        <v>115</v>
      </c>
      <c r="B475" s="41" t="s">
        <v>1032</v>
      </c>
      <c r="C475" s="41" t="s">
        <v>691</v>
      </c>
      <c r="D475" s="41" t="s">
        <v>645</v>
      </c>
      <c r="E475" s="41" t="s">
        <v>658</v>
      </c>
      <c r="F475" s="41" t="s">
        <v>1410</v>
      </c>
      <c r="G475" s="41" t="s">
        <v>655</v>
      </c>
      <c r="H475" s="41" t="s">
        <v>683</v>
      </c>
      <c r="I475" s="41" t="s">
        <v>688</v>
      </c>
      <c r="J475" s="41" t="s">
        <v>709</v>
      </c>
      <c r="K475" s="41" t="s">
        <v>679</v>
      </c>
      <c r="L475" s="41" t="s">
        <v>680</v>
      </c>
      <c r="M475" s="41">
        <v>0.9</v>
      </c>
      <c r="N475" s="44"/>
    </row>
    <row r="476" customHeight="1" spans="1:14">
      <c r="A476" s="38">
        <v>116</v>
      </c>
      <c r="B476" s="39" t="s">
        <v>1411</v>
      </c>
      <c r="C476" s="39" t="s">
        <v>691</v>
      </c>
      <c r="D476" s="39" t="s">
        <v>642</v>
      </c>
      <c r="E476" s="39" t="s">
        <v>657</v>
      </c>
      <c r="F476" s="39" t="s">
        <v>1412</v>
      </c>
      <c r="G476" s="39" t="s">
        <v>653</v>
      </c>
      <c r="H476" s="39" t="s">
        <v>676</v>
      </c>
      <c r="I476" s="39" t="s">
        <v>677</v>
      </c>
      <c r="J476" s="39" t="s">
        <v>678</v>
      </c>
      <c r="K476" s="39" t="s">
        <v>694</v>
      </c>
      <c r="L476" s="39" t="s">
        <v>715</v>
      </c>
      <c r="M476" s="39">
        <v>0</v>
      </c>
      <c r="N476" s="43"/>
    </row>
    <row r="477" customHeight="1" spans="1:14">
      <c r="A477" s="40">
        <v>117</v>
      </c>
      <c r="B477" s="41" t="s">
        <v>1413</v>
      </c>
      <c r="C477" s="41" t="s">
        <v>691</v>
      </c>
      <c r="D477" s="41" t="s">
        <v>638</v>
      </c>
      <c r="E477" s="41" t="s">
        <v>651</v>
      </c>
      <c r="F477" s="41" t="s">
        <v>1414</v>
      </c>
      <c r="G477" s="41" t="s">
        <v>654</v>
      </c>
      <c r="H477" s="41" t="s">
        <v>687</v>
      </c>
      <c r="I477" s="41" t="s">
        <v>677</v>
      </c>
      <c r="J477" s="41" t="s">
        <v>678</v>
      </c>
      <c r="K477" s="41" t="s">
        <v>679</v>
      </c>
      <c r="L477" s="41" t="s">
        <v>719</v>
      </c>
      <c r="M477" s="41">
        <v>0</v>
      </c>
      <c r="N477" s="44"/>
    </row>
    <row r="478" customHeight="1" spans="1:14">
      <c r="A478" s="38">
        <v>118</v>
      </c>
      <c r="B478" s="39" t="s">
        <v>792</v>
      </c>
      <c r="C478" s="39" t="s">
        <v>691</v>
      </c>
      <c r="D478" s="39" t="s">
        <v>642</v>
      </c>
      <c r="E478" s="39" t="s">
        <v>657</v>
      </c>
      <c r="F478" s="39" t="s">
        <v>1415</v>
      </c>
      <c r="G478" s="39" t="s">
        <v>654</v>
      </c>
      <c r="H478" s="39" t="s">
        <v>683</v>
      </c>
      <c r="I478" s="39" t="s">
        <v>700</v>
      </c>
      <c r="J478" s="39" t="s">
        <v>678</v>
      </c>
      <c r="K478" s="39" t="s">
        <v>701</v>
      </c>
      <c r="L478" s="39" t="s">
        <v>695</v>
      </c>
      <c r="M478" s="39">
        <v>0.6</v>
      </c>
      <c r="N478" s="43"/>
    </row>
    <row r="479" customHeight="1" spans="1:14">
      <c r="A479" s="40">
        <v>119</v>
      </c>
      <c r="B479" s="41" t="s">
        <v>802</v>
      </c>
      <c r="C479" s="41" t="s">
        <v>691</v>
      </c>
      <c r="D479" s="41" t="s">
        <v>647</v>
      </c>
      <c r="E479" s="41" t="s">
        <v>657</v>
      </c>
      <c r="F479" s="41" t="s">
        <v>1416</v>
      </c>
      <c r="G479" s="41" t="s">
        <v>655</v>
      </c>
      <c r="H479" s="41" t="s">
        <v>687</v>
      </c>
      <c r="I479" s="41" t="s">
        <v>693</v>
      </c>
      <c r="J479" s="41" t="s">
        <v>709</v>
      </c>
      <c r="K479" s="41" t="s">
        <v>679</v>
      </c>
      <c r="L479" s="41" t="s">
        <v>719</v>
      </c>
      <c r="M479" s="41">
        <v>0</v>
      </c>
      <c r="N479" s="44"/>
    </row>
    <row r="480" customHeight="1" spans="1:14">
      <c r="A480" s="38">
        <v>120</v>
      </c>
      <c r="B480" s="39" t="s">
        <v>1417</v>
      </c>
      <c r="C480" s="39" t="s">
        <v>691</v>
      </c>
      <c r="D480" s="39" t="s">
        <v>642</v>
      </c>
      <c r="E480" s="39" t="s">
        <v>658</v>
      </c>
      <c r="F480" s="39" t="s">
        <v>1418</v>
      </c>
      <c r="G480" s="39" t="s">
        <v>652</v>
      </c>
      <c r="H480" s="39" t="s">
        <v>718</v>
      </c>
      <c r="I480" s="39" t="s">
        <v>688</v>
      </c>
      <c r="J480" s="39" t="s">
        <v>678</v>
      </c>
      <c r="K480" s="39" t="s">
        <v>689</v>
      </c>
      <c r="L480" s="39" t="s">
        <v>695</v>
      </c>
      <c r="M480" s="39">
        <v>0.6</v>
      </c>
      <c r="N480" s="43"/>
    </row>
    <row r="481" customHeight="1" spans="1:14">
      <c r="A481" s="40">
        <v>121</v>
      </c>
      <c r="B481" s="41" t="s">
        <v>705</v>
      </c>
      <c r="C481" s="41" t="s">
        <v>691</v>
      </c>
      <c r="D481" s="41" t="s">
        <v>649</v>
      </c>
      <c r="E481" s="41" t="s">
        <v>658</v>
      </c>
      <c r="F481" s="41" t="s">
        <v>1419</v>
      </c>
      <c r="G481" s="41" t="s">
        <v>653</v>
      </c>
      <c r="H481" s="41" t="s">
        <v>722</v>
      </c>
      <c r="I481" s="41" t="s">
        <v>693</v>
      </c>
      <c r="J481" s="41" t="s">
        <v>709</v>
      </c>
      <c r="K481" s="41" t="s">
        <v>694</v>
      </c>
      <c r="L481" s="41" t="s">
        <v>715</v>
      </c>
      <c r="M481" s="41">
        <v>0</v>
      </c>
      <c r="N481" s="44"/>
    </row>
    <row r="482" customHeight="1" spans="1:14">
      <c r="A482" s="38">
        <v>122</v>
      </c>
      <c r="B482" s="39" t="s">
        <v>1055</v>
      </c>
      <c r="C482" s="39" t="s">
        <v>691</v>
      </c>
      <c r="D482" s="39" t="s">
        <v>644</v>
      </c>
      <c r="E482" s="39" t="s">
        <v>658</v>
      </c>
      <c r="F482" s="39" t="s">
        <v>1420</v>
      </c>
      <c r="G482" s="39" t="s">
        <v>654</v>
      </c>
      <c r="H482" s="39" t="s">
        <v>687</v>
      </c>
      <c r="I482" s="39" t="s">
        <v>708</v>
      </c>
      <c r="J482" s="39" t="s">
        <v>678</v>
      </c>
      <c r="K482" s="39" t="s">
        <v>710</v>
      </c>
      <c r="L482" s="39" t="s">
        <v>684</v>
      </c>
      <c r="M482" s="39">
        <v>0.85</v>
      </c>
      <c r="N482" s="43"/>
    </row>
    <row r="483" customHeight="1" spans="1:14">
      <c r="A483" s="40">
        <v>123</v>
      </c>
      <c r="B483" s="41" t="s">
        <v>1009</v>
      </c>
      <c r="C483" s="41" t="s">
        <v>691</v>
      </c>
      <c r="D483" s="41" t="s">
        <v>645</v>
      </c>
      <c r="E483" s="41" t="s">
        <v>657</v>
      </c>
      <c r="F483" s="41" t="s">
        <v>1421</v>
      </c>
      <c r="G483" s="41" t="s">
        <v>654</v>
      </c>
      <c r="H483" s="41" t="s">
        <v>722</v>
      </c>
      <c r="I483" s="41" t="s">
        <v>677</v>
      </c>
      <c r="J483" s="41" t="s">
        <v>678</v>
      </c>
      <c r="K483" s="41" t="s">
        <v>694</v>
      </c>
      <c r="L483" s="41" t="s">
        <v>684</v>
      </c>
      <c r="M483" s="41">
        <v>0.85</v>
      </c>
      <c r="N483" s="44"/>
    </row>
    <row r="484" customHeight="1" spans="1:14">
      <c r="A484" s="38">
        <v>124</v>
      </c>
      <c r="B484" s="39" t="s">
        <v>1176</v>
      </c>
      <c r="C484" s="39" t="s">
        <v>691</v>
      </c>
      <c r="D484" s="39" t="s">
        <v>644</v>
      </c>
      <c r="E484" s="39" t="s">
        <v>658</v>
      </c>
      <c r="F484" s="39" t="s">
        <v>1422</v>
      </c>
      <c r="G484" s="39" t="s">
        <v>655</v>
      </c>
      <c r="H484" s="39" t="s">
        <v>722</v>
      </c>
      <c r="I484" s="39" t="s">
        <v>677</v>
      </c>
      <c r="J484" s="39" t="s">
        <v>709</v>
      </c>
      <c r="K484" s="39" t="s">
        <v>694</v>
      </c>
      <c r="L484" s="39" t="s">
        <v>695</v>
      </c>
      <c r="M484" s="39">
        <v>0.6</v>
      </c>
      <c r="N484" s="43"/>
    </row>
    <row r="485" customHeight="1" spans="1:14">
      <c r="A485" s="40">
        <v>125</v>
      </c>
      <c r="B485" s="41" t="s">
        <v>868</v>
      </c>
      <c r="C485" s="41" t="s">
        <v>691</v>
      </c>
      <c r="D485" s="41" t="s">
        <v>644</v>
      </c>
      <c r="E485" s="41" t="s">
        <v>651</v>
      </c>
      <c r="F485" s="41" t="s">
        <v>1423</v>
      </c>
      <c r="G485" s="41" t="s">
        <v>652</v>
      </c>
      <c r="H485" s="41" t="s">
        <v>707</v>
      </c>
      <c r="I485" s="41" t="s">
        <v>693</v>
      </c>
      <c r="J485" s="41" t="s">
        <v>678</v>
      </c>
      <c r="K485" s="41" t="s">
        <v>732</v>
      </c>
      <c r="L485" s="41" t="s">
        <v>680</v>
      </c>
      <c r="M485" s="41">
        <v>0.9</v>
      </c>
      <c r="N485" s="44"/>
    </row>
    <row r="486" customHeight="1" spans="1:14">
      <c r="A486" s="38">
        <v>126</v>
      </c>
      <c r="B486" s="39" t="s">
        <v>1013</v>
      </c>
      <c r="C486" s="39" t="s">
        <v>691</v>
      </c>
      <c r="D486" s="39" t="s">
        <v>646</v>
      </c>
      <c r="E486" s="39" t="s">
        <v>651</v>
      </c>
      <c r="F486" s="39" t="s">
        <v>1424</v>
      </c>
      <c r="G486" s="39" t="s">
        <v>654</v>
      </c>
      <c r="H486" s="39" t="s">
        <v>676</v>
      </c>
      <c r="I486" s="39" t="s">
        <v>708</v>
      </c>
      <c r="J486" s="39" t="s">
        <v>678</v>
      </c>
      <c r="K486" s="39" t="s">
        <v>694</v>
      </c>
      <c r="L486" s="39" t="s">
        <v>743</v>
      </c>
      <c r="M486" s="39">
        <v>0</v>
      </c>
      <c r="N486" s="43"/>
    </row>
    <row r="487" customHeight="1" spans="1:14">
      <c r="A487" s="40">
        <v>127</v>
      </c>
      <c r="B487" s="41" t="s">
        <v>830</v>
      </c>
      <c r="C487" s="41" t="s">
        <v>691</v>
      </c>
      <c r="D487" s="41" t="s">
        <v>646</v>
      </c>
      <c r="E487" s="41" t="s">
        <v>657</v>
      </c>
      <c r="F487" s="41" t="s">
        <v>1425</v>
      </c>
      <c r="G487" s="41" t="s">
        <v>656</v>
      </c>
      <c r="H487" s="41" t="s">
        <v>722</v>
      </c>
      <c r="I487" s="41" t="s">
        <v>693</v>
      </c>
      <c r="J487" s="41" t="s">
        <v>709</v>
      </c>
      <c r="K487" s="41" t="s">
        <v>710</v>
      </c>
      <c r="L487" s="41" t="s">
        <v>684</v>
      </c>
      <c r="M487" s="41">
        <v>0.85</v>
      </c>
      <c r="N487" s="44"/>
    </row>
    <row r="488" customHeight="1" spans="1:14">
      <c r="A488" s="38">
        <v>128</v>
      </c>
      <c r="B488" s="39" t="s">
        <v>1426</v>
      </c>
      <c r="C488" s="39" t="s">
        <v>674</v>
      </c>
      <c r="D488" s="39" t="s">
        <v>642</v>
      </c>
      <c r="E488" s="39" t="s">
        <v>657</v>
      </c>
      <c r="F488" s="39" t="s">
        <v>1427</v>
      </c>
      <c r="G488" s="39" t="s">
        <v>652</v>
      </c>
      <c r="H488" s="39" t="s">
        <v>683</v>
      </c>
      <c r="I488" s="39" t="s">
        <v>677</v>
      </c>
      <c r="J488" s="39" t="s">
        <v>678</v>
      </c>
      <c r="K488" s="39" t="s">
        <v>701</v>
      </c>
      <c r="L488" s="39" t="s">
        <v>719</v>
      </c>
      <c r="M488" s="39">
        <v>0</v>
      </c>
      <c r="N488" s="43"/>
    </row>
    <row r="489" customHeight="1" spans="1:14">
      <c r="A489" s="40">
        <v>129</v>
      </c>
      <c r="B489" s="41" t="s">
        <v>737</v>
      </c>
      <c r="C489" s="41" t="s">
        <v>691</v>
      </c>
      <c r="D489" s="41" t="s">
        <v>642</v>
      </c>
      <c r="E489" s="41" t="s">
        <v>658</v>
      </c>
      <c r="F489" s="41" t="s">
        <v>1428</v>
      </c>
      <c r="G489" s="41" t="s">
        <v>655</v>
      </c>
      <c r="H489" s="41" t="s">
        <v>683</v>
      </c>
      <c r="I489" s="41" t="s">
        <v>700</v>
      </c>
      <c r="J489" s="41" t="s">
        <v>678</v>
      </c>
      <c r="K489" s="41" t="s">
        <v>710</v>
      </c>
      <c r="L489" s="41" t="s">
        <v>719</v>
      </c>
      <c r="M489" s="41">
        <v>0</v>
      </c>
      <c r="N489" s="44"/>
    </row>
    <row r="490" customHeight="1" spans="1:14">
      <c r="A490" s="38">
        <v>130</v>
      </c>
      <c r="B490" s="39" t="s">
        <v>1429</v>
      </c>
      <c r="C490" s="39" t="s">
        <v>691</v>
      </c>
      <c r="D490" s="39" t="s">
        <v>646</v>
      </c>
      <c r="E490" s="39" t="s">
        <v>658</v>
      </c>
      <c r="F490" s="39" t="s">
        <v>1430</v>
      </c>
      <c r="G490" s="39" t="s">
        <v>654</v>
      </c>
      <c r="H490" s="39" t="s">
        <v>687</v>
      </c>
      <c r="I490" s="39" t="s">
        <v>688</v>
      </c>
      <c r="J490" s="39" t="s">
        <v>678</v>
      </c>
      <c r="K490" s="39" t="s">
        <v>732</v>
      </c>
      <c r="L490" s="39" t="s">
        <v>743</v>
      </c>
      <c r="M490" s="39">
        <v>0</v>
      </c>
      <c r="N490" s="43"/>
    </row>
    <row r="491" customHeight="1" spans="1:14">
      <c r="A491" s="40">
        <v>131</v>
      </c>
      <c r="B491" s="41" t="s">
        <v>919</v>
      </c>
      <c r="C491" s="41" t="s">
        <v>674</v>
      </c>
      <c r="D491" s="41" t="s">
        <v>646</v>
      </c>
      <c r="E491" s="41" t="s">
        <v>657</v>
      </c>
      <c r="F491" s="41" t="s">
        <v>1431</v>
      </c>
      <c r="G491" s="41" t="s">
        <v>656</v>
      </c>
      <c r="H491" s="41" t="s">
        <v>707</v>
      </c>
      <c r="I491" s="41" t="s">
        <v>677</v>
      </c>
      <c r="J491" s="41" t="s">
        <v>678</v>
      </c>
      <c r="K491" s="41" t="s">
        <v>710</v>
      </c>
      <c r="L491" s="41" t="s">
        <v>719</v>
      </c>
      <c r="M491" s="41">
        <v>0</v>
      </c>
      <c r="N491" s="44"/>
    </row>
    <row r="492" customHeight="1" spans="1:14">
      <c r="A492" s="38">
        <v>132</v>
      </c>
      <c r="B492" s="39" t="s">
        <v>753</v>
      </c>
      <c r="C492" s="39" t="s">
        <v>691</v>
      </c>
      <c r="D492" s="39" t="s">
        <v>648</v>
      </c>
      <c r="E492" s="39" t="s">
        <v>658</v>
      </c>
      <c r="F492" s="39" t="s">
        <v>1432</v>
      </c>
      <c r="G492" s="39" t="s">
        <v>656</v>
      </c>
      <c r="H492" s="39" t="s">
        <v>727</v>
      </c>
      <c r="I492" s="39" t="s">
        <v>677</v>
      </c>
      <c r="J492" s="39" t="s">
        <v>709</v>
      </c>
      <c r="K492" s="39" t="s">
        <v>679</v>
      </c>
      <c r="L492" s="39" t="s">
        <v>715</v>
      </c>
      <c r="M492" s="39">
        <v>0</v>
      </c>
      <c r="N492" s="43"/>
    </row>
    <row r="493" customHeight="1" spans="1:14">
      <c r="A493" s="40">
        <v>133</v>
      </c>
      <c r="B493" s="41" t="s">
        <v>1401</v>
      </c>
      <c r="C493" s="41" t="s">
        <v>691</v>
      </c>
      <c r="D493" s="41" t="s">
        <v>639</v>
      </c>
      <c r="E493" s="41" t="s">
        <v>657</v>
      </c>
      <c r="F493" s="41" t="s">
        <v>1433</v>
      </c>
      <c r="G493" s="41" t="s">
        <v>654</v>
      </c>
      <c r="H493" s="41" t="s">
        <v>687</v>
      </c>
      <c r="I493" s="41" t="s">
        <v>688</v>
      </c>
      <c r="J493" s="41" t="s">
        <v>678</v>
      </c>
      <c r="K493" s="41" t="s">
        <v>701</v>
      </c>
      <c r="L493" s="41" t="s">
        <v>743</v>
      </c>
      <c r="M493" s="41">
        <v>0</v>
      </c>
      <c r="N493" s="44"/>
    </row>
    <row r="494" customHeight="1" spans="1:14">
      <c r="A494" s="38">
        <v>134</v>
      </c>
      <c r="B494" s="39" t="s">
        <v>1260</v>
      </c>
      <c r="C494" s="39" t="s">
        <v>691</v>
      </c>
      <c r="D494" s="39" t="s">
        <v>646</v>
      </c>
      <c r="E494" s="39" t="s">
        <v>651</v>
      </c>
      <c r="F494" s="39" t="s">
        <v>1434</v>
      </c>
      <c r="G494" s="39" t="s">
        <v>653</v>
      </c>
      <c r="H494" s="39" t="s">
        <v>676</v>
      </c>
      <c r="I494" s="39" t="s">
        <v>677</v>
      </c>
      <c r="J494" s="39" t="s">
        <v>678</v>
      </c>
      <c r="K494" s="39" t="s">
        <v>689</v>
      </c>
      <c r="L494" s="39" t="s">
        <v>684</v>
      </c>
      <c r="M494" s="39">
        <v>0.85</v>
      </c>
      <c r="N494" s="43"/>
    </row>
    <row r="495" customHeight="1" spans="1:14">
      <c r="A495" s="40">
        <v>135</v>
      </c>
      <c r="B495" s="41" t="s">
        <v>1435</v>
      </c>
      <c r="C495" s="41" t="s">
        <v>674</v>
      </c>
      <c r="D495" s="41" t="s">
        <v>639</v>
      </c>
      <c r="E495" s="41" t="s">
        <v>658</v>
      </c>
      <c r="F495" s="41" t="s">
        <v>1436</v>
      </c>
      <c r="G495" s="41" t="s">
        <v>655</v>
      </c>
      <c r="H495" s="41" t="s">
        <v>727</v>
      </c>
      <c r="I495" s="41" t="s">
        <v>677</v>
      </c>
      <c r="J495" s="41" t="s">
        <v>678</v>
      </c>
      <c r="K495" s="41" t="s">
        <v>694</v>
      </c>
      <c r="L495" s="41" t="s">
        <v>719</v>
      </c>
      <c r="M495" s="41">
        <v>0</v>
      </c>
      <c r="N495" s="44"/>
    </row>
    <row r="496" customHeight="1" spans="1:14">
      <c r="A496" s="38">
        <v>136</v>
      </c>
      <c r="B496" s="39" t="s">
        <v>802</v>
      </c>
      <c r="C496" s="39" t="s">
        <v>691</v>
      </c>
      <c r="D496" s="39" t="s">
        <v>647</v>
      </c>
      <c r="E496" s="39" t="s">
        <v>657</v>
      </c>
      <c r="F496" s="39" t="s">
        <v>1437</v>
      </c>
      <c r="G496" s="39" t="s">
        <v>655</v>
      </c>
      <c r="H496" s="39" t="s">
        <v>676</v>
      </c>
      <c r="I496" s="39" t="s">
        <v>700</v>
      </c>
      <c r="J496" s="39" t="s">
        <v>709</v>
      </c>
      <c r="K496" s="39" t="s">
        <v>701</v>
      </c>
      <c r="L496" s="39" t="s">
        <v>684</v>
      </c>
      <c r="M496" s="39">
        <v>0.85</v>
      </c>
      <c r="N496" s="43"/>
    </row>
    <row r="497" customHeight="1" spans="1:14">
      <c r="A497" s="40">
        <v>137</v>
      </c>
      <c r="B497" s="41" t="s">
        <v>905</v>
      </c>
      <c r="C497" s="41" t="s">
        <v>691</v>
      </c>
      <c r="D497" s="41" t="s">
        <v>647</v>
      </c>
      <c r="E497" s="41" t="s">
        <v>658</v>
      </c>
      <c r="F497" s="41" t="s">
        <v>1438</v>
      </c>
      <c r="G497" s="41" t="s">
        <v>655</v>
      </c>
      <c r="H497" s="41" t="s">
        <v>683</v>
      </c>
      <c r="I497" s="41" t="s">
        <v>693</v>
      </c>
      <c r="J497" s="41" t="s">
        <v>678</v>
      </c>
      <c r="K497" s="41" t="s">
        <v>679</v>
      </c>
      <c r="L497" s="41" t="s">
        <v>743</v>
      </c>
      <c r="M497" s="41">
        <v>0</v>
      </c>
      <c r="N497" s="44"/>
    </row>
    <row r="498" customHeight="1" spans="1:14">
      <c r="A498" s="38">
        <v>138</v>
      </c>
      <c r="B498" s="39" t="s">
        <v>760</v>
      </c>
      <c r="C498" s="39" t="s">
        <v>674</v>
      </c>
      <c r="D498" s="39" t="s">
        <v>638</v>
      </c>
      <c r="E498" s="39" t="s">
        <v>657</v>
      </c>
      <c r="F498" s="39" t="s">
        <v>1439</v>
      </c>
      <c r="G498" s="39" t="s">
        <v>654</v>
      </c>
      <c r="H498" s="39" t="s">
        <v>718</v>
      </c>
      <c r="I498" s="39" t="s">
        <v>708</v>
      </c>
      <c r="J498" s="39" t="s">
        <v>678</v>
      </c>
      <c r="K498" s="39" t="s">
        <v>732</v>
      </c>
      <c r="L498" s="39" t="s">
        <v>715</v>
      </c>
      <c r="M498" s="39">
        <v>0</v>
      </c>
      <c r="N498" s="43"/>
    </row>
    <row r="499" customHeight="1" spans="1:14">
      <c r="A499" s="40">
        <v>139</v>
      </c>
      <c r="B499" s="41" t="s">
        <v>1223</v>
      </c>
      <c r="C499" s="41" t="s">
        <v>691</v>
      </c>
      <c r="D499" s="41" t="s">
        <v>647</v>
      </c>
      <c r="E499" s="41" t="s">
        <v>651</v>
      </c>
      <c r="F499" s="41" t="s">
        <v>1440</v>
      </c>
      <c r="G499" s="41" t="s">
        <v>653</v>
      </c>
      <c r="H499" s="41" t="s">
        <v>676</v>
      </c>
      <c r="I499" s="41" t="s">
        <v>708</v>
      </c>
      <c r="J499" s="41" t="s">
        <v>709</v>
      </c>
      <c r="K499" s="41" t="s">
        <v>689</v>
      </c>
      <c r="L499" s="41" t="s">
        <v>743</v>
      </c>
      <c r="M499" s="41">
        <v>0</v>
      </c>
      <c r="N499" s="44"/>
    </row>
    <row r="500" customHeight="1" spans="1:14">
      <c r="A500" s="38">
        <v>140</v>
      </c>
      <c r="B500" s="39" t="s">
        <v>749</v>
      </c>
      <c r="C500" s="39" t="s">
        <v>674</v>
      </c>
      <c r="D500" s="39" t="s">
        <v>639</v>
      </c>
      <c r="E500" s="39" t="s">
        <v>658</v>
      </c>
      <c r="F500" s="39" t="s">
        <v>1441</v>
      </c>
      <c r="G500" s="39" t="s">
        <v>654</v>
      </c>
      <c r="H500" s="39" t="s">
        <v>707</v>
      </c>
      <c r="I500" s="39" t="s">
        <v>700</v>
      </c>
      <c r="J500" s="39" t="s">
        <v>678</v>
      </c>
      <c r="K500" s="39" t="s">
        <v>689</v>
      </c>
      <c r="L500" s="39" t="s">
        <v>743</v>
      </c>
      <c r="M500" s="39">
        <v>0</v>
      </c>
      <c r="N500" s="43"/>
    </row>
    <row r="501" customHeight="1" spans="1:14">
      <c r="A501" s="40">
        <v>141</v>
      </c>
      <c r="B501" s="41" t="s">
        <v>834</v>
      </c>
      <c r="C501" s="41" t="s">
        <v>691</v>
      </c>
      <c r="D501" s="41" t="s">
        <v>649</v>
      </c>
      <c r="E501" s="41" t="s">
        <v>657</v>
      </c>
      <c r="F501" s="41" t="s">
        <v>1442</v>
      </c>
      <c r="G501" s="41" t="s">
        <v>656</v>
      </c>
      <c r="H501" s="41" t="s">
        <v>718</v>
      </c>
      <c r="I501" s="41" t="s">
        <v>677</v>
      </c>
      <c r="J501" s="41" t="s">
        <v>709</v>
      </c>
      <c r="K501" s="41" t="s">
        <v>694</v>
      </c>
      <c r="L501" s="41" t="s">
        <v>715</v>
      </c>
      <c r="M501" s="41">
        <v>0</v>
      </c>
      <c r="N501" s="44"/>
    </row>
    <row r="502" customHeight="1" spans="1:14">
      <c r="A502" s="38">
        <v>142</v>
      </c>
      <c r="B502" s="39" t="s">
        <v>1367</v>
      </c>
      <c r="C502" s="39" t="s">
        <v>691</v>
      </c>
      <c r="D502" s="39" t="s">
        <v>644</v>
      </c>
      <c r="E502" s="39" t="s">
        <v>658</v>
      </c>
      <c r="F502" s="39" t="s">
        <v>1443</v>
      </c>
      <c r="G502" s="39" t="s">
        <v>652</v>
      </c>
      <c r="H502" s="39" t="s">
        <v>687</v>
      </c>
      <c r="I502" s="39" t="s">
        <v>693</v>
      </c>
      <c r="J502" s="39" t="s">
        <v>709</v>
      </c>
      <c r="K502" s="39" t="s">
        <v>694</v>
      </c>
      <c r="L502" s="39" t="s">
        <v>743</v>
      </c>
      <c r="M502" s="39">
        <v>0</v>
      </c>
      <c r="N502" s="43"/>
    </row>
    <row r="503" customHeight="1" spans="1:14">
      <c r="A503" s="40">
        <v>143</v>
      </c>
      <c r="B503" s="41" t="s">
        <v>1195</v>
      </c>
      <c r="C503" s="41" t="s">
        <v>691</v>
      </c>
      <c r="D503" s="41" t="s">
        <v>640</v>
      </c>
      <c r="E503" s="41" t="s">
        <v>651</v>
      </c>
      <c r="F503" s="41" t="s">
        <v>1444</v>
      </c>
      <c r="G503" s="41" t="s">
        <v>654</v>
      </c>
      <c r="H503" s="41" t="s">
        <v>707</v>
      </c>
      <c r="I503" s="41" t="s">
        <v>708</v>
      </c>
      <c r="J503" s="41" t="s">
        <v>678</v>
      </c>
      <c r="K503" s="41" t="s">
        <v>694</v>
      </c>
      <c r="L503" s="41" t="s">
        <v>684</v>
      </c>
      <c r="M503" s="41">
        <v>0.85</v>
      </c>
      <c r="N503" s="44"/>
    </row>
    <row r="504" customHeight="1" spans="1:14">
      <c r="A504" s="38">
        <v>144</v>
      </c>
      <c r="B504" s="39" t="s">
        <v>1040</v>
      </c>
      <c r="C504" s="39" t="s">
        <v>691</v>
      </c>
      <c r="D504" s="39" t="s">
        <v>647</v>
      </c>
      <c r="E504" s="39" t="s">
        <v>651</v>
      </c>
      <c r="F504" s="39" t="s">
        <v>1445</v>
      </c>
      <c r="G504" s="39" t="s">
        <v>652</v>
      </c>
      <c r="H504" s="39" t="s">
        <v>727</v>
      </c>
      <c r="I504" s="39" t="s">
        <v>677</v>
      </c>
      <c r="J504" s="39" t="s">
        <v>678</v>
      </c>
      <c r="K504" s="39" t="s">
        <v>694</v>
      </c>
      <c r="L504" s="39" t="s">
        <v>743</v>
      </c>
      <c r="M504" s="39">
        <v>0</v>
      </c>
      <c r="N504" s="43"/>
    </row>
    <row r="505" customHeight="1" spans="1:14">
      <c r="A505" s="40">
        <v>145</v>
      </c>
      <c r="B505" s="41" t="s">
        <v>735</v>
      </c>
      <c r="C505" s="41" t="s">
        <v>691</v>
      </c>
      <c r="D505" s="41" t="s">
        <v>648</v>
      </c>
      <c r="E505" s="41" t="s">
        <v>651</v>
      </c>
      <c r="F505" s="41" t="s">
        <v>1446</v>
      </c>
      <c r="G505" s="41" t="s">
        <v>652</v>
      </c>
      <c r="H505" s="41" t="s">
        <v>687</v>
      </c>
      <c r="I505" s="41" t="s">
        <v>700</v>
      </c>
      <c r="J505" s="41" t="s">
        <v>709</v>
      </c>
      <c r="K505" s="41" t="s">
        <v>732</v>
      </c>
      <c r="L505" s="41" t="s">
        <v>715</v>
      </c>
      <c r="M505" s="41">
        <v>0</v>
      </c>
      <c r="N505" s="44"/>
    </row>
    <row r="506" customHeight="1" spans="1:14">
      <c r="A506" s="38">
        <v>146</v>
      </c>
      <c r="B506" s="39" t="s">
        <v>866</v>
      </c>
      <c r="C506" s="39" t="s">
        <v>691</v>
      </c>
      <c r="D506" s="39" t="s">
        <v>645</v>
      </c>
      <c r="E506" s="39" t="s">
        <v>658</v>
      </c>
      <c r="F506" s="39" t="s">
        <v>1447</v>
      </c>
      <c r="G506" s="39" t="s">
        <v>656</v>
      </c>
      <c r="H506" s="39" t="s">
        <v>722</v>
      </c>
      <c r="I506" s="39" t="s">
        <v>688</v>
      </c>
      <c r="J506" s="39" t="s">
        <v>678</v>
      </c>
      <c r="K506" s="39" t="s">
        <v>694</v>
      </c>
      <c r="L506" s="39" t="s">
        <v>684</v>
      </c>
      <c r="M506" s="39">
        <v>0.85</v>
      </c>
      <c r="N506" s="43"/>
    </row>
    <row r="507" customHeight="1" spans="1:14">
      <c r="A507" s="40">
        <v>147</v>
      </c>
      <c r="B507" s="41" t="s">
        <v>1186</v>
      </c>
      <c r="C507" s="41" t="s">
        <v>691</v>
      </c>
      <c r="D507" s="41" t="s">
        <v>642</v>
      </c>
      <c r="E507" s="41" t="s">
        <v>658</v>
      </c>
      <c r="F507" s="41" t="s">
        <v>1448</v>
      </c>
      <c r="G507" s="41" t="s">
        <v>652</v>
      </c>
      <c r="H507" s="41" t="s">
        <v>707</v>
      </c>
      <c r="I507" s="41" t="s">
        <v>708</v>
      </c>
      <c r="J507" s="41" t="s">
        <v>678</v>
      </c>
      <c r="K507" s="41" t="s">
        <v>701</v>
      </c>
      <c r="L507" s="41" t="s">
        <v>715</v>
      </c>
      <c r="M507" s="41">
        <v>0</v>
      </c>
      <c r="N507" s="44"/>
    </row>
    <row r="508" customHeight="1" spans="1:14">
      <c r="A508" s="38">
        <v>148</v>
      </c>
      <c r="B508" s="39" t="s">
        <v>905</v>
      </c>
      <c r="C508" s="39" t="s">
        <v>691</v>
      </c>
      <c r="D508" s="39" t="s">
        <v>647</v>
      </c>
      <c r="E508" s="39" t="s">
        <v>658</v>
      </c>
      <c r="F508" s="39" t="s">
        <v>1449</v>
      </c>
      <c r="G508" s="39" t="s">
        <v>656</v>
      </c>
      <c r="H508" s="39" t="s">
        <v>718</v>
      </c>
      <c r="I508" s="39" t="s">
        <v>708</v>
      </c>
      <c r="J508" s="39" t="s">
        <v>678</v>
      </c>
      <c r="K508" s="39" t="s">
        <v>701</v>
      </c>
      <c r="L508" s="39" t="s">
        <v>743</v>
      </c>
      <c r="M508" s="39">
        <v>0</v>
      </c>
      <c r="N508" s="43"/>
    </row>
    <row r="509" customHeight="1" spans="1:14">
      <c r="A509" s="40">
        <v>149</v>
      </c>
      <c r="B509" s="41" t="s">
        <v>958</v>
      </c>
      <c r="C509" s="41" t="s">
        <v>691</v>
      </c>
      <c r="D509" s="41" t="s">
        <v>640</v>
      </c>
      <c r="E509" s="41" t="s">
        <v>658</v>
      </c>
      <c r="F509" s="41" t="s">
        <v>1450</v>
      </c>
      <c r="G509" s="41" t="s">
        <v>654</v>
      </c>
      <c r="H509" s="41" t="s">
        <v>722</v>
      </c>
      <c r="I509" s="41" t="s">
        <v>693</v>
      </c>
      <c r="J509" s="41" t="s">
        <v>678</v>
      </c>
      <c r="K509" s="41" t="s">
        <v>689</v>
      </c>
      <c r="L509" s="41" t="s">
        <v>680</v>
      </c>
      <c r="M509" s="41">
        <v>0.9</v>
      </c>
      <c r="N509" s="44"/>
    </row>
    <row r="510" customHeight="1" spans="1:14">
      <c r="A510" s="38">
        <v>150</v>
      </c>
      <c r="B510" s="39" t="s">
        <v>1304</v>
      </c>
      <c r="C510" s="39" t="s">
        <v>674</v>
      </c>
      <c r="D510" s="39" t="s">
        <v>647</v>
      </c>
      <c r="E510" s="39" t="s">
        <v>657</v>
      </c>
      <c r="F510" s="39" t="s">
        <v>1451</v>
      </c>
      <c r="G510" s="39" t="s">
        <v>656</v>
      </c>
      <c r="H510" s="39" t="s">
        <v>707</v>
      </c>
      <c r="I510" s="39" t="s">
        <v>700</v>
      </c>
      <c r="J510" s="39" t="s">
        <v>678</v>
      </c>
      <c r="K510" s="39" t="s">
        <v>701</v>
      </c>
      <c r="L510" s="39" t="s">
        <v>695</v>
      </c>
      <c r="M510" s="39">
        <v>0.6</v>
      </c>
      <c r="N510" s="43"/>
    </row>
    <row r="511" customHeight="1" spans="1:14">
      <c r="A511" s="40">
        <v>151</v>
      </c>
      <c r="B511" s="41" t="s">
        <v>1452</v>
      </c>
      <c r="C511" s="41" t="s">
        <v>691</v>
      </c>
      <c r="D511" s="41" t="s">
        <v>647</v>
      </c>
      <c r="E511" s="41" t="s">
        <v>658</v>
      </c>
      <c r="F511" s="41" t="s">
        <v>1453</v>
      </c>
      <c r="G511" s="41" t="s">
        <v>655</v>
      </c>
      <c r="H511" s="41" t="s">
        <v>676</v>
      </c>
      <c r="I511" s="41" t="s">
        <v>688</v>
      </c>
      <c r="J511" s="41" t="s">
        <v>678</v>
      </c>
      <c r="K511" s="41" t="s">
        <v>710</v>
      </c>
      <c r="L511" s="41" t="s">
        <v>719</v>
      </c>
      <c r="M511" s="41">
        <v>0</v>
      </c>
      <c r="N511" s="44"/>
    </row>
    <row r="512" customHeight="1" spans="1:14">
      <c r="A512" s="38">
        <v>152</v>
      </c>
      <c r="B512" s="39" t="s">
        <v>1454</v>
      </c>
      <c r="C512" s="39" t="s">
        <v>691</v>
      </c>
      <c r="D512" s="39" t="s">
        <v>638</v>
      </c>
      <c r="E512" s="39" t="s">
        <v>657</v>
      </c>
      <c r="F512" s="39" t="s">
        <v>1455</v>
      </c>
      <c r="G512" s="39" t="s">
        <v>652</v>
      </c>
      <c r="H512" s="39" t="s">
        <v>707</v>
      </c>
      <c r="I512" s="39" t="s">
        <v>693</v>
      </c>
      <c r="J512" s="39" t="s">
        <v>709</v>
      </c>
      <c r="K512" s="39" t="s">
        <v>732</v>
      </c>
      <c r="L512" s="39" t="s">
        <v>680</v>
      </c>
      <c r="M512" s="39">
        <v>0.9</v>
      </c>
      <c r="N512" s="43"/>
    </row>
    <row r="513" customHeight="1" spans="1:14">
      <c r="A513" s="40">
        <v>153</v>
      </c>
      <c r="B513" s="41" t="s">
        <v>1378</v>
      </c>
      <c r="C513" s="41" t="s">
        <v>691</v>
      </c>
      <c r="D513" s="41" t="s">
        <v>639</v>
      </c>
      <c r="E513" s="41" t="s">
        <v>657</v>
      </c>
      <c r="F513" s="41" t="s">
        <v>1456</v>
      </c>
      <c r="G513" s="41" t="s">
        <v>656</v>
      </c>
      <c r="H513" s="41" t="s">
        <v>722</v>
      </c>
      <c r="I513" s="41" t="s">
        <v>700</v>
      </c>
      <c r="J513" s="41" t="s">
        <v>678</v>
      </c>
      <c r="K513" s="41" t="s">
        <v>710</v>
      </c>
      <c r="L513" s="41" t="s">
        <v>719</v>
      </c>
      <c r="M513" s="41">
        <v>0</v>
      </c>
      <c r="N513" s="44"/>
    </row>
    <row r="514" customHeight="1" spans="1:14">
      <c r="A514" s="38">
        <v>154</v>
      </c>
      <c r="B514" s="39" t="s">
        <v>845</v>
      </c>
      <c r="C514" s="39" t="s">
        <v>674</v>
      </c>
      <c r="D514" s="39" t="s">
        <v>646</v>
      </c>
      <c r="E514" s="39" t="s">
        <v>658</v>
      </c>
      <c r="F514" s="39" t="s">
        <v>1457</v>
      </c>
      <c r="G514" s="39" t="s">
        <v>652</v>
      </c>
      <c r="H514" s="39" t="s">
        <v>683</v>
      </c>
      <c r="I514" s="39" t="s">
        <v>700</v>
      </c>
      <c r="J514" s="39" t="s">
        <v>709</v>
      </c>
      <c r="K514" s="39" t="s">
        <v>710</v>
      </c>
      <c r="L514" s="39" t="s">
        <v>715</v>
      </c>
      <c r="M514" s="39">
        <v>0</v>
      </c>
      <c r="N514" s="43"/>
    </row>
    <row r="515" customHeight="1" spans="1:14">
      <c r="A515" s="40">
        <v>155</v>
      </c>
      <c r="B515" s="41" t="s">
        <v>1168</v>
      </c>
      <c r="C515" s="41" t="s">
        <v>674</v>
      </c>
      <c r="D515" s="41" t="s">
        <v>640</v>
      </c>
      <c r="E515" s="41" t="s">
        <v>658</v>
      </c>
      <c r="F515" s="41" t="s">
        <v>1458</v>
      </c>
      <c r="G515" s="41" t="s">
        <v>656</v>
      </c>
      <c r="H515" s="41" t="s">
        <v>727</v>
      </c>
      <c r="I515" s="41" t="s">
        <v>700</v>
      </c>
      <c r="J515" s="41" t="s">
        <v>709</v>
      </c>
      <c r="K515" s="41" t="s">
        <v>679</v>
      </c>
      <c r="L515" s="41" t="s">
        <v>715</v>
      </c>
      <c r="M515" s="41">
        <v>0</v>
      </c>
      <c r="N515" s="44"/>
    </row>
    <row r="516" customHeight="1" spans="1:14">
      <c r="A516" s="38">
        <v>156</v>
      </c>
      <c r="B516" s="39" t="s">
        <v>834</v>
      </c>
      <c r="C516" s="39" t="s">
        <v>691</v>
      </c>
      <c r="D516" s="39" t="s">
        <v>649</v>
      </c>
      <c r="E516" s="39" t="s">
        <v>657</v>
      </c>
      <c r="F516" s="39" t="s">
        <v>1459</v>
      </c>
      <c r="G516" s="39" t="s">
        <v>655</v>
      </c>
      <c r="H516" s="39" t="s">
        <v>727</v>
      </c>
      <c r="I516" s="39" t="s">
        <v>677</v>
      </c>
      <c r="J516" s="39" t="s">
        <v>678</v>
      </c>
      <c r="K516" s="39" t="s">
        <v>689</v>
      </c>
      <c r="L516" s="39" t="s">
        <v>719</v>
      </c>
      <c r="M516" s="39">
        <v>0</v>
      </c>
      <c r="N516" s="43"/>
    </row>
    <row r="517" customHeight="1" spans="1:14">
      <c r="A517" s="40">
        <v>157</v>
      </c>
      <c r="B517" s="41" t="s">
        <v>1460</v>
      </c>
      <c r="C517" s="41" t="s">
        <v>691</v>
      </c>
      <c r="D517" s="41" t="s">
        <v>639</v>
      </c>
      <c r="E517" s="41" t="s">
        <v>658</v>
      </c>
      <c r="F517" s="41" t="s">
        <v>1461</v>
      </c>
      <c r="G517" s="41" t="s">
        <v>653</v>
      </c>
      <c r="H517" s="41" t="s">
        <v>687</v>
      </c>
      <c r="I517" s="41" t="s">
        <v>708</v>
      </c>
      <c r="J517" s="41" t="s">
        <v>709</v>
      </c>
      <c r="K517" s="41" t="s">
        <v>701</v>
      </c>
      <c r="L517" s="41" t="s">
        <v>680</v>
      </c>
      <c r="M517" s="41">
        <v>0.9</v>
      </c>
      <c r="N517" s="44"/>
    </row>
    <row r="518" customHeight="1" spans="1:14">
      <c r="A518" s="38">
        <v>158</v>
      </c>
      <c r="B518" s="39" t="s">
        <v>1462</v>
      </c>
      <c r="C518" s="39" t="s">
        <v>691</v>
      </c>
      <c r="D518" s="39" t="s">
        <v>647</v>
      </c>
      <c r="E518" s="39" t="s">
        <v>658</v>
      </c>
      <c r="F518" s="39" t="s">
        <v>1463</v>
      </c>
      <c r="G518" s="39" t="s">
        <v>652</v>
      </c>
      <c r="H518" s="39" t="s">
        <v>683</v>
      </c>
      <c r="I518" s="39" t="s">
        <v>693</v>
      </c>
      <c r="J518" s="39" t="s">
        <v>678</v>
      </c>
      <c r="K518" s="39" t="s">
        <v>701</v>
      </c>
      <c r="L518" s="39" t="s">
        <v>680</v>
      </c>
      <c r="M518" s="39">
        <v>0.9</v>
      </c>
      <c r="N518" s="43"/>
    </row>
    <row r="519" customHeight="1" spans="1:14">
      <c r="A519" s="40">
        <v>159</v>
      </c>
      <c r="B519" s="41" t="s">
        <v>925</v>
      </c>
      <c r="C519" s="41" t="s">
        <v>674</v>
      </c>
      <c r="D519" s="41" t="s">
        <v>642</v>
      </c>
      <c r="E519" s="41" t="s">
        <v>658</v>
      </c>
      <c r="F519" s="41" t="s">
        <v>1464</v>
      </c>
      <c r="G519" s="41" t="s">
        <v>654</v>
      </c>
      <c r="H519" s="41" t="s">
        <v>718</v>
      </c>
      <c r="I519" s="41" t="s">
        <v>688</v>
      </c>
      <c r="J519" s="41" t="s">
        <v>678</v>
      </c>
      <c r="K519" s="41" t="s">
        <v>701</v>
      </c>
      <c r="L519" s="41" t="s">
        <v>684</v>
      </c>
      <c r="M519" s="41">
        <v>0.85</v>
      </c>
      <c r="N519" s="44"/>
    </row>
    <row r="520" customHeight="1" spans="1:14">
      <c r="A520" s="38">
        <v>160</v>
      </c>
      <c r="B520" s="39" t="s">
        <v>1254</v>
      </c>
      <c r="C520" s="39" t="s">
        <v>674</v>
      </c>
      <c r="D520" s="39" t="s">
        <v>641</v>
      </c>
      <c r="E520" s="39" t="s">
        <v>658</v>
      </c>
      <c r="F520" s="39" t="s">
        <v>1465</v>
      </c>
      <c r="G520" s="39" t="s">
        <v>652</v>
      </c>
      <c r="H520" s="39" t="s">
        <v>676</v>
      </c>
      <c r="I520" s="39" t="s">
        <v>700</v>
      </c>
      <c r="J520" s="39" t="s">
        <v>678</v>
      </c>
      <c r="K520" s="39" t="s">
        <v>694</v>
      </c>
      <c r="L520" s="39" t="s">
        <v>680</v>
      </c>
      <c r="M520" s="39">
        <v>0.9</v>
      </c>
      <c r="N520" s="43"/>
    </row>
    <row r="521" customHeight="1" spans="1:14">
      <c r="A521" s="40">
        <v>161</v>
      </c>
      <c r="B521" s="41" t="s">
        <v>1312</v>
      </c>
      <c r="C521" s="41" t="s">
        <v>674</v>
      </c>
      <c r="D521" s="41" t="s">
        <v>642</v>
      </c>
      <c r="E521" s="41" t="s">
        <v>658</v>
      </c>
      <c r="F521" s="41" t="s">
        <v>1466</v>
      </c>
      <c r="G521" s="41" t="s">
        <v>656</v>
      </c>
      <c r="H521" s="41" t="s">
        <v>718</v>
      </c>
      <c r="I521" s="41" t="s">
        <v>693</v>
      </c>
      <c r="J521" s="41" t="s">
        <v>709</v>
      </c>
      <c r="K521" s="41" t="s">
        <v>701</v>
      </c>
      <c r="L521" s="41" t="s">
        <v>695</v>
      </c>
      <c r="M521" s="41">
        <v>0.6</v>
      </c>
      <c r="N521" s="44"/>
    </row>
    <row r="522" customHeight="1" spans="1:14">
      <c r="A522" s="38">
        <v>162</v>
      </c>
      <c r="B522" s="39" t="s">
        <v>1195</v>
      </c>
      <c r="C522" s="39" t="s">
        <v>691</v>
      </c>
      <c r="D522" s="39" t="s">
        <v>640</v>
      </c>
      <c r="E522" s="39" t="s">
        <v>651</v>
      </c>
      <c r="F522" s="39" t="s">
        <v>1467</v>
      </c>
      <c r="G522" s="39" t="s">
        <v>653</v>
      </c>
      <c r="H522" s="39" t="s">
        <v>707</v>
      </c>
      <c r="I522" s="39" t="s">
        <v>677</v>
      </c>
      <c r="J522" s="39" t="s">
        <v>709</v>
      </c>
      <c r="K522" s="39" t="s">
        <v>701</v>
      </c>
      <c r="L522" s="39" t="s">
        <v>715</v>
      </c>
      <c r="M522" s="39">
        <v>0</v>
      </c>
      <c r="N522" s="43"/>
    </row>
    <row r="523" customHeight="1" spans="1:14">
      <c r="A523" s="40">
        <v>163</v>
      </c>
      <c r="B523" s="41" t="s">
        <v>1145</v>
      </c>
      <c r="C523" s="41" t="s">
        <v>691</v>
      </c>
      <c r="D523" s="41" t="s">
        <v>639</v>
      </c>
      <c r="E523" s="41" t="s">
        <v>657</v>
      </c>
      <c r="F523" s="41" t="s">
        <v>1468</v>
      </c>
      <c r="G523" s="41" t="s">
        <v>656</v>
      </c>
      <c r="H523" s="41" t="s">
        <v>676</v>
      </c>
      <c r="I523" s="41" t="s">
        <v>688</v>
      </c>
      <c r="J523" s="41" t="s">
        <v>678</v>
      </c>
      <c r="K523" s="41" t="s">
        <v>689</v>
      </c>
      <c r="L523" s="41" t="s">
        <v>743</v>
      </c>
      <c r="M523" s="41">
        <v>0</v>
      </c>
      <c r="N523" s="44"/>
    </row>
    <row r="524" customHeight="1" spans="1:14">
      <c r="A524" s="38">
        <v>164</v>
      </c>
      <c r="B524" s="39" t="s">
        <v>1469</v>
      </c>
      <c r="C524" s="39" t="s">
        <v>674</v>
      </c>
      <c r="D524" s="39" t="s">
        <v>649</v>
      </c>
      <c r="E524" s="39" t="s">
        <v>657</v>
      </c>
      <c r="F524" s="39" t="s">
        <v>1470</v>
      </c>
      <c r="G524" s="39" t="s">
        <v>656</v>
      </c>
      <c r="H524" s="39" t="s">
        <v>707</v>
      </c>
      <c r="I524" s="39" t="s">
        <v>677</v>
      </c>
      <c r="J524" s="39" t="s">
        <v>678</v>
      </c>
      <c r="K524" s="39" t="s">
        <v>694</v>
      </c>
      <c r="L524" s="39" t="s">
        <v>719</v>
      </c>
      <c r="M524" s="39">
        <v>0</v>
      </c>
      <c r="N524" s="43"/>
    </row>
    <row r="525" customHeight="1" spans="1:14">
      <c r="A525" s="40">
        <v>165</v>
      </c>
      <c r="B525" s="41" t="s">
        <v>1471</v>
      </c>
      <c r="C525" s="41" t="s">
        <v>691</v>
      </c>
      <c r="D525" s="41" t="s">
        <v>647</v>
      </c>
      <c r="E525" s="41" t="s">
        <v>651</v>
      </c>
      <c r="F525" s="41" t="s">
        <v>1472</v>
      </c>
      <c r="G525" s="41" t="s">
        <v>653</v>
      </c>
      <c r="H525" s="41" t="s">
        <v>707</v>
      </c>
      <c r="I525" s="41" t="s">
        <v>688</v>
      </c>
      <c r="J525" s="41" t="s">
        <v>678</v>
      </c>
      <c r="K525" s="41" t="s">
        <v>732</v>
      </c>
      <c r="L525" s="41" t="s">
        <v>695</v>
      </c>
      <c r="M525" s="41">
        <v>0.6</v>
      </c>
      <c r="N525" s="44"/>
    </row>
    <row r="526" customHeight="1" spans="1:14">
      <c r="A526" s="38">
        <v>166</v>
      </c>
      <c r="B526" s="39" t="s">
        <v>1384</v>
      </c>
      <c r="C526" s="39" t="s">
        <v>691</v>
      </c>
      <c r="D526" s="39" t="s">
        <v>647</v>
      </c>
      <c r="E526" s="39" t="s">
        <v>657</v>
      </c>
      <c r="F526" s="39" t="s">
        <v>1473</v>
      </c>
      <c r="G526" s="39" t="s">
        <v>653</v>
      </c>
      <c r="H526" s="39" t="s">
        <v>722</v>
      </c>
      <c r="I526" s="39" t="s">
        <v>688</v>
      </c>
      <c r="J526" s="39" t="s">
        <v>678</v>
      </c>
      <c r="K526" s="39" t="s">
        <v>689</v>
      </c>
      <c r="L526" s="39" t="s">
        <v>743</v>
      </c>
      <c r="M526" s="39">
        <v>0</v>
      </c>
      <c r="N526" s="43"/>
    </row>
    <row r="527" customHeight="1" spans="1:14">
      <c r="A527" s="40">
        <v>167</v>
      </c>
      <c r="B527" s="41" t="s">
        <v>879</v>
      </c>
      <c r="C527" s="41" t="s">
        <v>691</v>
      </c>
      <c r="D527" s="41" t="s">
        <v>646</v>
      </c>
      <c r="E527" s="41" t="s">
        <v>651</v>
      </c>
      <c r="F527" s="41" t="s">
        <v>1474</v>
      </c>
      <c r="G527" s="41" t="s">
        <v>654</v>
      </c>
      <c r="H527" s="41" t="s">
        <v>718</v>
      </c>
      <c r="I527" s="41" t="s">
        <v>708</v>
      </c>
      <c r="J527" s="41" t="s">
        <v>678</v>
      </c>
      <c r="K527" s="41" t="s">
        <v>694</v>
      </c>
      <c r="L527" s="41" t="s">
        <v>680</v>
      </c>
      <c r="M527" s="41">
        <v>0.9</v>
      </c>
      <c r="N527" s="44"/>
    </row>
    <row r="528" customHeight="1" spans="1:14">
      <c r="A528" s="38">
        <v>168</v>
      </c>
      <c r="B528" s="39" t="s">
        <v>1475</v>
      </c>
      <c r="C528" s="39" t="s">
        <v>691</v>
      </c>
      <c r="D528" s="39" t="s">
        <v>648</v>
      </c>
      <c r="E528" s="39" t="s">
        <v>658</v>
      </c>
      <c r="F528" s="39" t="s">
        <v>1476</v>
      </c>
      <c r="G528" s="39" t="s">
        <v>656</v>
      </c>
      <c r="H528" s="39" t="s">
        <v>687</v>
      </c>
      <c r="I528" s="39" t="s">
        <v>693</v>
      </c>
      <c r="J528" s="39" t="s">
        <v>709</v>
      </c>
      <c r="K528" s="39" t="s">
        <v>732</v>
      </c>
      <c r="L528" s="39" t="s">
        <v>695</v>
      </c>
      <c r="M528" s="39">
        <v>0.6</v>
      </c>
      <c r="N528" s="43"/>
    </row>
    <row r="529" customHeight="1" spans="1:14">
      <c r="A529" s="40">
        <v>169</v>
      </c>
      <c r="B529" s="41" t="s">
        <v>746</v>
      </c>
      <c r="C529" s="41" t="s">
        <v>691</v>
      </c>
      <c r="D529" s="41" t="s">
        <v>645</v>
      </c>
      <c r="E529" s="41" t="s">
        <v>657</v>
      </c>
      <c r="F529" s="41" t="s">
        <v>1477</v>
      </c>
      <c r="G529" s="41" t="s">
        <v>653</v>
      </c>
      <c r="H529" s="41" t="s">
        <v>683</v>
      </c>
      <c r="I529" s="41" t="s">
        <v>700</v>
      </c>
      <c r="J529" s="41" t="s">
        <v>678</v>
      </c>
      <c r="K529" s="41" t="s">
        <v>689</v>
      </c>
      <c r="L529" s="41" t="s">
        <v>695</v>
      </c>
      <c r="M529" s="41">
        <v>0.6</v>
      </c>
      <c r="N529" s="44"/>
    </row>
    <row r="530" customHeight="1" spans="1:14">
      <c r="A530" s="38">
        <v>170</v>
      </c>
      <c r="B530" s="39" t="s">
        <v>733</v>
      </c>
      <c r="C530" s="39" t="s">
        <v>674</v>
      </c>
      <c r="D530" s="39" t="s">
        <v>648</v>
      </c>
      <c r="E530" s="39" t="s">
        <v>658</v>
      </c>
      <c r="F530" s="39" t="s">
        <v>1478</v>
      </c>
      <c r="G530" s="39" t="s">
        <v>655</v>
      </c>
      <c r="H530" s="39" t="s">
        <v>722</v>
      </c>
      <c r="I530" s="39" t="s">
        <v>700</v>
      </c>
      <c r="J530" s="39" t="s">
        <v>709</v>
      </c>
      <c r="K530" s="39" t="s">
        <v>701</v>
      </c>
      <c r="L530" s="39" t="s">
        <v>680</v>
      </c>
      <c r="M530" s="39">
        <v>0.9</v>
      </c>
      <c r="N530" s="43"/>
    </row>
    <row r="531" customHeight="1" spans="1:14">
      <c r="A531" s="40">
        <v>171</v>
      </c>
      <c r="B531" s="41" t="s">
        <v>1479</v>
      </c>
      <c r="C531" s="41" t="s">
        <v>691</v>
      </c>
      <c r="D531" s="41" t="s">
        <v>640</v>
      </c>
      <c r="E531" s="41" t="s">
        <v>657</v>
      </c>
      <c r="F531" s="41" t="s">
        <v>1480</v>
      </c>
      <c r="G531" s="41" t="s">
        <v>656</v>
      </c>
      <c r="H531" s="41" t="s">
        <v>727</v>
      </c>
      <c r="I531" s="41" t="s">
        <v>688</v>
      </c>
      <c r="J531" s="41" t="s">
        <v>678</v>
      </c>
      <c r="K531" s="41" t="s">
        <v>694</v>
      </c>
      <c r="L531" s="41" t="s">
        <v>715</v>
      </c>
      <c r="M531" s="41">
        <v>0</v>
      </c>
      <c r="N531" s="44"/>
    </row>
    <row r="532" customHeight="1" spans="1:14">
      <c r="A532" s="38">
        <v>172</v>
      </c>
      <c r="B532" s="39" t="s">
        <v>749</v>
      </c>
      <c r="C532" s="39" t="s">
        <v>674</v>
      </c>
      <c r="D532" s="39" t="s">
        <v>639</v>
      </c>
      <c r="E532" s="39" t="s">
        <v>658</v>
      </c>
      <c r="F532" s="39" t="s">
        <v>1481</v>
      </c>
      <c r="G532" s="39" t="s">
        <v>652</v>
      </c>
      <c r="H532" s="39" t="s">
        <v>707</v>
      </c>
      <c r="I532" s="39" t="s">
        <v>688</v>
      </c>
      <c r="J532" s="39" t="s">
        <v>709</v>
      </c>
      <c r="K532" s="39" t="s">
        <v>701</v>
      </c>
      <c r="L532" s="39" t="s">
        <v>743</v>
      </c>
      <c r="M532" s="39">
        <v>0</v>
      </c>
      <c r="N532" s="43"/>
    </row>
    <row r="533" customHeight="1" spans="1:14">
      <c r="A533" s="40">
        <v>173</v>
      </c>
      <c r="B533" s="41" t="s">
        <v>1482</v>
      </c>
      <c r="C533" s="41" t="s">
        <v>691</v>
      </c>
      <c r="D533" s="41" t="s">
        <v>642</v>
      </c>
      <c r="E533" s="41" t="s">
        <v>657</v>
      </c>
      <c r="F533" s="41" t="s">
        <v>1483</v>
      </c>
      <c r="G533" s="41" t="s">
        <v>652</v>
      </c>
      <c r="H533" s="41" t="s">
        <v>687</v>
      </c>
      <c r="I533" s="41" t="s">
        <v>693</v>
      </c>
      <c r="J533" s="41" t="s">
        <v>678</v>
      </c>
      <c r="K533" s="41" t="s">
        <v>710</v>
      </c>
      <c r="L533" s="41" t="s">
        <v>743</v>
      </c>
      <c r="M533" s="41">
        <v>0</v>
      </c>
      <c r="N533" s="44"/>
    </row>
    <row r="534" customHeight="1" spans="1:14">
      <c r="A534" s="38">
        <v>174</v>
      </c>
      <c r="B534" s="39" t="s">
        <v>859</v>
      </c>
      <c r="C534" s="39" t="s">
        <v>691</v>
      </c>
      <c r="D534" s="39" t="s">
        <v>649</v>
      </c>
      <c r="E534" s="39" t="s">
        <v>657</v>
      </c>
      <c r="F534" s="39" t="s">
        <v>1484</v>
      </c>
      <c r="G534" s="39" t="s">
        <v>655</v>
      </c>
      <c r="H534" s="39" t="s">
        <v>718</v>
      </c>
      <c r="I534" s="39" t="s">
        <v>693</v>
      </c>
      <c r="J534" s="39" t="s">
        <v>678</v>
      </c>
      <c r="K534" s="39" t="s">
        <v>732</v>
      </c>
      <c r="L534" s="39" t="s">
        <v>680</v>
      </c>
      <c r="M534" s="39">
        <v>0.9</v>
      </c>
      <c r="N534" s="43"/>
    </row>
    <row r="535" customHeight="1" spans="1:14">
      <c r="A535" s="40">
        <v>175</v>
      </c>
      <c r="B535" s="41" t="s">
        <v>1059</v>
      </c>
      <c r="C535" s="41" t="s">
        <v>691</v>
      </c>
      <c r="D535" s="41" t="s">
        <v>646</v>
      </c>
      <c r="E535" s="41" t="s">
        <v>657</v>
      </c>
      <c r="F535" s="41" t="s">
        <v>1485</v>
      </c>
      <c r="G535" s="41" t="s">
        <v>652</v>
      </c>
      <c r="H535" s="41" t="s">
        <v>676</v>
      </c>
      <c r="I535" s="41" t="s">
        <v>700</v>
      </c>
      <c r="J535" s="41" t="s">
        <v>678</v>
      </c>
      <c r="K535" s="41" t="s">
        <v>710</v>
      </c>
      <c r="L535" s="41" t="s">
        <v>680</v>
      </c>
      <c r="M535" s="41">
        <v>0.9</v>
      </c>
      <c r="N535" s="44"/>
    </row>
    <row r="536" customHeight="1" spans="1:14">
      <c r="A536" s="38">
        <v>176</v>
      </c>
      <c r="B536" s="39" t="s">
        <v>1486</v>
      </c>
      <c r="C536" s="39" t="s">
        <v>691</v>
      </c>
      <c r="D536" s="39" t="s">
        <v>642</v>
      </c>
      <c r="E536" s="39" t="s">
        <v>657</v>
      </c>
      <c r="F536" s="39" t="s">
        <v>1487</v>
      </c>
      <c r="G536" s="39" t="s">
        <v>653</v>
      </c>
      <c r="H536" s="39" t="s">
        <v>707</v>
      </c>
      <c r="I536" s="39" t="s">
        <v>700</v>
      </c>
      <c r="J536" s="39" t="s">
        <v>709</v>
      </c>
      <c r="K536" s="39" t="s">
        <v>694</v>
      </c>
      <c r="L536" s="39" t="s">
        <v>743</v>
      </c>
      <c r="M536" s="39">
        <v>0</v>
      </c>
      <c r="N536" s="43"/>
    </row>
    <row r="537" customHeight="1" spans="1:14">
      <c r="A537" s="40">
        <v>177</v>
      </c>
      <c r="B537" s="41" t="s">
        <v>1339</v>
      </c>
      <c r="C537" s="41" t="s">
        <v>674</v>
      </c>
      <c r="D537" s="41" t="s">
        <v>643</v>
      </c>
      <c r="E537" s="41" t="s">
        <v>657</v>
      </c>
      <c r="F537" s="41" t="s">
        <v>1488</v>
      </c>
      <c r="G537" s="41" t="s">
        <v>652</v>
      </c>
      <c r="H537" s="41" t="s">
        <v>718</v>
      </c>
      <c r="I537" s="41" t="s">
        <v>700</v>
      </c>
      <c r="J537" s="41" t="s">
        <v>678</v>
      </c>
      <c r="K537" s="41" t="s">
        <v>701</v>
      </c>
      <c r="L537" s="41" t="s">
        <v>680</v>
      </c>
      <c r="M537" s="41">
        <v>0.9</v>
      </c>
      <c r="N537" s="44"/>
    </row>
    <row r="538" customHeight="1" spans="1:14">
      <c r="A538" s="38">
        <v>178</v>
      </c>
      <c r="B538" s="39" t="s">
        <v>1489</v>
      </c>
      <c r="C538" s="39" t="s">
        <v>691</v>
      </c>
      <c r="D538" s="39" t="s">
        <v>644</v>
      </c>
      <c r="E538" s="39" t="s">
        <v>658</v>
      </c>
      <c r="F538" s="39" t="s">
        <v>1490</v>
      </c>
      <c r="G538" s="39" t="s">
        <v>655</v>
      </c>
      <c r="H538" s="39" t="s">
        <v>727</v>
      </c>
      <c r="I538" s="39" t="s">
        <v>708</v>
      </c>
      <c r="J538" s="39" t="s">
        <v>709</v>
      </c>
      <c r="K538" s="39" t="s">
        <v>679</v>
      </c>
      <c r="L538" s="39" t="s">
        <v>743</v>
      </c>
      <c r="M538" s="39">
        <v>0</v>
      </c>
      <c r="N538" s="43"/>
    </row>
    <row r="539" customHeight="1" spans="1:14">
      <c r="A539" s="40">
        <v>179</v>
      </c>
      <c r="B539" s="41" t="s">
        <v>1491</v>
      </c>
      <c r="C539" s="41" t="s">
        <v>691</v>
      </c>
      <c r="D539" s="41" t="s">
        <v>640</v>
      </c>
      <c r="E539" s="41" t="s">
        <v>658</v>
      </c>
      <c r="F539" s="41" t="s">
        <v>1492</v>
      </c>
      <c r="G539" s="41" t="s">
        <v>654</v>
      </c>
      <c r="H539" s="41" t="s">
        <v>718</v>
      </c>
      <c r="I539" s="41" t="s">
        <v>688</v>
      </c>
      <c r="J539" s="41" t="s">
        <v>678</v>
      </c>
      <c r="K539" s="41" t="s">
        <v>679</v>
      </c>
      <c r="L539" s="41" t="s">
        <v>684</v>
      </c>
      <c r="M539" s="41">
        <v>0.85</v>
      </c>
      <c r="N539" s="44"/>
    </row>
    <row r="540" customHeight="1" spans="1:14">
      <c r="A540" s="38">
        <v>180</v>
      </c>
      <c r="B540" s="39" t="s">
        <v>964</v>
      </c>
      <c r="C540" s="39" t="s">
        <v>691</v>
      </c>
      <c r="D540" s="39" t="s">
        <v>640</v>
      </c>
      <c r="E540" s="39" t="s">
        <v>657</v>
      </c>
      <c r="F540" s="39" t="s">
        <v>1493</v>
      </c>
      <c r="G540" s="39" t="s">
        <v>656</v>
      </c>
      <c r="H540" s="39" t="s">
        <v>683</v>
      </c>
      <c r="I540" s="39" t="s">
        <v>708</v>
      </c>
      <c r="J540" s="39" t="s">
        <v>709</v>
      </c>
      <c r="K540" s="39" t="s">
        <v>701</v>
      </c>
      <c r="L540" s="39" t="s">
        <v>680</v>
      </c>
      <c r="M540" s="39">
        <v>0.9</v>
      </c>
      <c r="N540" s="43"/>
    </row>
    <row r="541" customHeight="1" spans="1:14">
      <c r="A541" s="40">
        <v>181</v>
      </c>
      <c r="B541" s="41" t="s">
        <v>1494</v>
      </c>
      <c r="C541" s="41" t="s">
        <v>691</v>
      </c>
      <c r="D541" s="41" t="s">
        <v>649</v>
      </c>
      <c r="E541" s="41" t="s">
        <v>658</v>
      </c>
      <c r="F541" s="41" t="s">
        <v>1495</v>
      </c>
      <c r="G541" s="41" t="s">
        <v>655</v>
      </c>
      <c r="H541" s="41" t="s">
        <v>722</v>
      </c>
      <c r="I541" s="41" t="s">
        <v>688</v>
      </c>
      <c r="J541" s="41" t="s">
        <v>709</v>
      </c>
      <c r="K541" s="41" t="s">
        <v>732</v>
      </c>
      <c r="L541" s="41" t="s">
        <v>684</v>
      </c>
      <c r="M541" s="41">
        <v>0.85</v>
      </c>
      <c r="N541" s="44"/>
    </row>
    <row r="542" customHeight="1" spans="1:14">
      <c r="A542" s="38">
        <v>182</v>
      </c>
      <c r="B542" s="39" t="s">
        <v>1267</v>
      </c>
      <c r="C542" s="39" t="s">
        <v>691</v>
      </c>
      <c r="D542" s="39" t="s">
        <v>639</v>
      </c>
      <c r="E542" s="39" t="s">
        <v>658</v>
      </c>
      <c r="F542" s="39" t="s">
        <v>1496</v>
      </c>
      <c r="G542" s="39" t="s">
        <v>654</v>
      </c>
      <c r="H542" s="39" t="s">
        <v>676</v>
      </c>
      <c r="I542" s="39" t="s">
        <v>708</v>
      </c>
      <c r="J542" s="39" t="s">
        <v>678</v>
      </c>
      <c r="K542" s="39" t="s">
        <v>710</v>
      </c>
      <c r="L542" s="39" t="s">
        <v>719</v>
      </c>
      <c r="M542" s="39">
        <v>0</v>
      </c>
      <c r="N542" s="43"/>
    </row>
    <row r="543" customHeight="1" spans="1:14">
      <c r="A543" s="40">
        <v>183</v>
      </c>
      <c r="B543" s="41" t="s">
        <v>1497</v>
      </c>
      <c r="C543" s="41" t="s">
        <v>691</v>
      </c>
      <c r="D543" s="41" t="s">
        <v>639</v>
      </c>
      <c r="E543" s="41" t="s">
        <v>658</v>
      </c>
      <c r="F543" s="41" t="s">
        <v>1498</v>
      </c>
      <c r="G543" s="41" t="s">
        <v>653</v>
      </c>
      <c r="H543" s="41" t="s">
        <v>687</v>
      </c>
      <c r="I543" s="41" t="s">
        <v>677</v>
      </c>
      <c r="J543" s="41" t="s">
        <v>709</v>
      </c>
      <c r="K543" s="41" t="s">
        <v>710</v>
      </c>
      <c r="L543" s="41" t="s">
        <v>719</v>
      </c>
      <c r="M543" s="41">
        <v>0</v>
      </c>
      <c r="N543" s="44"/>
    </row>
    <row r="544" customHeight="1" spans="1:14">
      <c r="A544" s="38">
        <v>184</v>
      </c>
      <c r="B544" s="39" t="s">
        <v>1499</v>
      </c>
      <c r="C544" s="39" t="s">
        <v>691</v>
      </c>
      <c r="D544" s="39" t="s">
        <v>646</v>
      </c>
      <c r="E544" s="39" t="s">
        <v>658</v>
      </c>
      <c r="F544" s="39" t="s">
        <v>1500</v>
      </c>
      <c r="G544" s="39" t="s">
        <v>654</v>
      </c>
      <c r="H544" s="39" t="s">
        <v>707</v>
      </c>
      <c r="I544" s="39" t="s">
        <v>700</v>
      </c>
      <c r="J544" s="39" t="s">
        <v>678</v>
      </c>
      <c r="K544" s="39" t="s">
        <v>710</v>
      </c>
      <c r="L544" s="39" t="s">
        <v>680</v>
      </c>
      <c r="M544" s="39">
        <v>0.9</v>
      </c>
      <c r="N544" s="43"/>
    </row>
    <row r="545" customHeight="1" spans="1:14">
      <c r="A545" s="40">
        <v>185</v>
      </c>
      <c r="B545" s="41" t="s">
        <v>1213</v>
      </c>
      <c r="C545" s="41" t="s">
        <v>691</v>
      </c>
      <c r="D545" s="41" t="s">
        <v>642</v>
      </c>
      <c r="E545" s="41" t="s">
        <v>658</v>
      </c>
      <c r="F545" s="41" t="s">
        <v>1501</v>
      </c>
      <c r="G545" s="41" t="s">
        <v>656</v>
      </c>
      <c r="H545" s="41" t="s">
        <v>718</v>
      </c>
      <c r="I545" s="41" t="s">
        <v>693</v>
      </c>
      <c r="J545" s="41" t="s">
        <v>678</v>
      </c>
      <c r="K545" s="41" t="s">
        <v>694</v>
      </c>
      <c r="L545" s="41" t="s">
        <v>719</v>
      </c>
      <c r="M545" s="41">
        <v>0</v>
      </c>
      <c r="N545" s="44"/>
    </row>
    <row r="546" customHeight="1" spans="1:14">
      <c r="A546" s="38">
        <v>186</v>
      </c>
      <c r="B546" s="39" t="s">
        <v>952</v>
      </c>
      <c r="C546" s="39" t="s">
        <v>691</v>
      </c>
      <c r="D546" s="39" t="s">
        <v>646</v>
      </c>
      <c r="E546" s="39" t="s">
        <v>657</v>
      </c>
      <c r="F546" s="39" t="s">
        <v>1502</v>
      </c>
      <c r="G546" s="39" t="s">
        <v>654</v>
      </c>
      <c r="H546" s="39" t="s">
        <v>718</v>
      </c>
      <c r="I546" s="39" t="s">
        <v>677</v>
      </c>
      <c r="J546" s="39" t="s">
        <v>678</v>
      </c>
      <c r="K546" s="39" t="s">
        <v>689</v>
      </c>
      <c r="L546" s="39" t="s">
        <v>719</v>
      </c>
      <c r="M546" s="39">
        <v>0</v>
      </c>
      <c r="N546" s="43"/>
    </row>
    <row r="547" customHeight="1" spans="1:14">
      <c r="A547" s="40">
        <v>187</v>
      </c>
      <c r="B547" s="41" t="s">
        <v>806</v>
      </c>
      <c r="C547" s="41" t="s">
        <v>674</v>
      </c>
      <c r="D547" s="41" t="s">
        <v>649</v>
      </c>
      <c r="E547" s="41" t="s">
        <v>651</v>
      </c>
      <c r="F547" s="41" t="s">
        <v>1503</v>
      </c>
      <c r="G547" s="41" t="s">
        <v>655</v>
      </c>
      <c r="H547" s="41" t="s">
        <v>722</v>
      </c>
      <c r="I547" s="41" t="s">
        <v>688</v>
      </c>
      <c r="J547" s="41" t="s">
        <v>678</v>
      </c>
      <c r="K547" s="41" t="s">
        <v>701</v>
      </c>
      <c r="L547" s="41" t="s">
        <v>719</v>
      </c>
      <c r="M547" s="41">
        <v>0</v>
      </c>
      <c r="N547" s="44"/>
    </row>
    <row r="548" customHeight="1" spans="1:14">
      <c r="A548" s="38">
        <v>188</v>
      </c>
      <c r="B548" s="39" t="s">
        <v>735</v>
      </c>
      <c r="C548" s="39" t="s">
        <v>691</v>
      </c>
      <c r="D548" s="39" t="s">
        <v>648</v>
      </c>
      <c r="E548" s="39" t="s">
        <v>651</v>
      </c>
      <c r="F548" s="39" t="s">
        <v>1504</v>
      </c>
      <c r="G548" s="39" t="s">
        <v>655</v>
      </c>
      <c r="H548" s="39" t="s">
        <v>722</v>
      </c>
      <c r="I548" s="39" t="s">
        <v>693</v>
      </c>
      <c r="J548" s="39" t="s">
        <v>709</v>
      </c>
      <c r="K548" s="39" t="s">
        <v>732</v>
      </c>
      <c r="L548" s="39" t="s">
        <v>684</v>
      </c>
      <c r="M548" s="39">
        <v>0.85</v>
      </c>
      <c r="N548" s="43"/>
    </row>
    <row r="549" customHeight="1" spans="1:14">
      <c r="A549" s="40">
        <v>189</v>
      </c>
      <c r="B549" s="41" t="s">
        <v>1387</v>
      </c>
      <c r="C549" s="41" t="s">
        <v>691</v>
      </c>
      <c r="D549" s="41" t="s">
        <v>647</v>
      </c>
      <c r="E549" s="41" t="s">
        <v>657</v>
      </c>
      <c r="F549" s="41" t="s">
        <v>1505</v>
      </c>
      <c r="G549" s="41" t="s">
        <v>656</v>
      </c>
      <c r="H549" s="41" t="s">
        <v>727</v>
      </c>
      <c r="I549" s="41" t="s">
        <v>688</v>
      </c>
      <c r="J549" s="41" t="s">
        <v>709</v>
      </c>
      <c r="K549" s="41" t="s">
        <v>689</v>
      </c>
      <c r="L549" s="41" t="s">
        <v>695</v>
      </c>
      <c r="M549" s="41">
        <v>0.6</v>
      </c>
      <c r="N549" s="44"/>
    </row>
    <row r="550" customHeight="1" spans="1:14">
      <c r="A550" s="38">
        <v>190</v>
      </c>
      <c r="B550" s="39" t="s">
        <v>1506</v>
      </c>
      <c r="C550" s="39" t="s">
        <v>691</v>
      </c>
      <c r="D550" s="39" t="s">
        <v>646</v>
      </c>
      <c r="E550" s="39" t="s">
        <v>657</v>
      </c>
      <c r="F550" s="39" t="s">
        <v>1507</v>
      </c>
      <c r="G550" s="39" t="s">
        <v>655</v>
      </c>
      <c r="H550" s="39" t="s">
        <v>683</v>
      </c>
      <c r="I550" s="39" t="s">
        <v>700</v>
      </c>
      <c r="J550" s="39" t="s">
        <v>678</v>
      </c>
      <c r="K550" s="39" t="s">
        <v>679</v>
      </c>
      <c r="L550" s="39" t="s">
        <v>719</v>
      </c>
      <c r="M550" s="39">
        <v>0</v>
      </c>
      <c r="N550" s="43"/>
    </row>
    <row r="551" customHeight="1" spans="1:14">
      <c r="A551" s="40">
        <v>191</v>
      </c>
      <c r="B551" s="41" t="s">
        <v>1080</v>
      </c>
      <c r="C551" s="41" t="s">
        <v>674</v>
      </c>
      <c r="D551" s="41" t="s">
        <v>646</v>
      </c>
      <c r="E551" s="41" t="s">
        <v>657</v>
      </c>
      <c r="F551" s="41" t="s">
        <v>1508</v>
      </c>
      <c r="G551" s="41" t="s">
        <v>652</v>
      </c>
      <c r="H551" s="41" t="s">
        <v>722</v>
      </c>
      <c r="I551" s="41" t="s">
        <v>700</v>
      </c>
      <c r="J551" s="41" t="s">
        <v>678</v>
      </c>
      <c r="K551" s="41" t="s">
        <v>732</v>
      </c>
      <c r="L551" s="41" t="s">
        <v>715</v>
      </c>
      <c r="M551" s="41">
        <v>0</v>
      </c>
      <c r="N551" s="44"/>
    </row>
    <row r="552" customHeight="1" spans="1:14">
      <c r="A552" s="38">
        <v>192</v>
      </c>
      <c r="B552" s="39" t="s">
        <v>884</v>
      </c>
      <c r="C552" s="39" t="s">
        <v>674</v>
      </c>
      <c r="D552" s="39" t="s">
        <v>647</v>
      </c>
      <c r="E552" s="39" t="s">
        <v>651</v>
      </c>
      <c r="F552" s="39" t="s">
        <v>1509</v>
      </c>
      <c r="G552" s="39" t="s">
        <v>656</v>
      </c>
      <c r="H552" s="39" t="s">
        <v>707</v>
      </c>
      <c r="I552" s="39" t="s">
        <v>688</v>
      </c>
      <c r="J552" s="39" t="s">
        <v>709</v>
      </c>
      <c r="K552" s="39" t="s">
        <v>732</v>
      </c>
      <c r="L552" s="39" t="s">
        <v>680</v>
      </c>
      <c r="M552" s="39">
        <v>0.9</v>
      </c>
      <c r="N552" s="43"/>
    </row>
    <row r="553" customHeight="1" spans="1:14">
      <c r="A553" s="40">
        <v>193</v>
      </c>
      <c r="B553" s="41" t="s">
        <v>681</v>
      </c>
      <c r="C553" s="41" t="s">
        <v>674</v>
      </c>
      <c r="D553" s="41" t="s">
        <v>638</v>
      </c>
      <c r="E553" s="41" t="s">
        <v>651</v>
      </c>
      <c r="F553" s="41" t="s">
        <v>1510</v>
      </c>
      <c r="G553" s="41" t="s">
        <v>652</v>
      </c>
      <c r="H553" s="41" t="s">
        <v>676</v>
      </c>
      <c r="I553" s="41" t="s">
        <v>693</v>
      </c>
      <c r="J553" s="41" t="s">
        <v>678</v>
      </c>
      <c r="K553" s="41" t="s">
        <v>710</v>
      </c>
      <c r="L553" s="41" t="s">
        <v>719</v>
      </c>
      <c r="M553" s="41">
        <v>0</v>
      </c>
      <c r="N553" s="44"/>
    </row>
    <row r="554" customHeight="1" spans="1:14">
      <c r="A554" s="38">
        <v>194</v>
      </c>
      <c r="B554" s="39" t="s">
        <v>1497</v>
      </c>
      <c r="C554" s="39" t="s">
        <v>691</v>
      </c>
      <c r="D554" s="39" t="s">
        <v>639</v>
      </c>
      <c r="E554" s="39" t="s">
        <v>658</v>
      </c>
      <c r="F554" s="39" t="s">
        <v>1511</v>
      </c>
      <c r="G554" s="39" t="s">
        <v>655</v>
      </c>
      <c r="H554" s="39" t="s">
        <v>707</v>
      </c>
      <c r="I554" s="39" t="s">
        <v>693</v>
      </c>
      <c r="J554" s="39" t="s">
        <v>709</v>
      </c>
      <c r="K554" s="39" t="s">
        <v>710</v>
      </c>
      <c r="L554" s="39" t="s">
        <v>719</v>
      </c>
      <c r="M554" s="39">
        <v>0</v>
      </c>
      <c r="N554" s="43"/>
    </row>
    <row r="555" customHeight="1" spans="1:14">
      <c r="A555" s="40">
        <v>195</v>
      </c>
      <c r="B555" s="41" t="s">
        <v>1512</v>
      </c>
      <c r="C555" s="41" t="s">
        <v>674</v>
      </c>
      <c r="D555" s="41" t="s">
        <v>638</v>
      </c>
      <c r="E555" s="41" t="s">
        <v>657</v>
      </c>
      <c r="F555" s="41" t="s">
        <v>1513</v>
      </c>
      <c r="G555" s="41" t="s">
        <v>656</v>
      </c>
      <c r="H555" s="41" t="s">
        <v>718</v>
      </c>
      <c r="I555" s="41" t="s">
        <v>700</v>
      </c>
      <c r="J555" s="41" t="s">
        <v>709</v>
      </c>
      <c r="K555" s="41" t="s">
        <v>689</v>
      </c>
      <c r="L555" s="41" t="s">
        <v>684</v>
      </c>
      <c r="M555" s="41">
        <v>0.85</v>
      </c>
      <c r="N555" s="44"/>
    </row>
    <row r="556" customHeight="1" spans="1:14">
      <c r="A556" s="38">
        <v>196</v>
      </c>
      <c r="B556" s="39" t="s">
        <v>1172</v>
      </c>
      <c r="C556" s="39" t="s">
        <v>674</v>
      </c>
      <c r="D556" s="39" t="s">
        <v>647</v>
      </c>
      <c r="E556" s="39" t="s">
        <v>657</v>
      </c>
      <c r="F556" s="39" t="s">
        <v>1514</v>
      </c>
      <c r="G556" s="39" t="s">
        <v>652</v>
      </c>
      <c r="H556" s="39" t="s">
        <v>727</v>
      </c>
      <c r="I556" s="39" t="s">
        <v>688</v>
      </c>
      <c r="J556" s="39" t="s">
        <v>678</v>
      </c>
      <c r="K556" s="39" t="s">
        <v>701</v>
      </c>
      <c r="L556" s="39" t="s">
        <v>719</v>
      </c>
      <c r="M556" s="39">
        <v>0</v>
      </c>
      <c r="N556" s="43"/>
    </row>
    <row r="557" customHeight="1" spans="1:14">
      <c r="A557" s="40">
        <v>197</v>
      </c>
      <c r="B557" s="41" t="s">
        <v>1515</v>
      </c>
      <c r="C557" s="41" t="s">
        <v>674</v>
      </c>
      <c r="D557" s="41" t="s">
        <v>639</v>
      </c>
      <c r="E557" s="41" t="s">
        <v>658</v>
      </c>
      <c r="F557" s="41" t="s">
        <v>1516</v>
      </c>
      <c r="G557" s="41" t="s">
        <v>655</v>
      </c>
      <c r="H557" s="41" t="s">
        <v>687</v>
      </c>
      <c r="I557" s="41" t="s">
        <v>688</v>
      </c>
      <c r="J557" s="41" t="s">
        <v>709</v>
      </c>
      <c r="K557" s="41" t="s">
        <v>679</v>
      </c>
      <c r="L557" s="41" t="s">
        <v>743</v>
      </c>
      <c r="M557" s="41">
        <v>0</v>
      </c>
      <c r="N557" s="44"/>
    </row>
    <row r="558" customHeight="1" spans="1:14">
      <c r="A558" s="38">
        <v>198</v>
      </c>
      <c r="B558" s="39" t="s">
        <v>1137</v>
      </c>
      <c r="C558" s="39" t="s">
        <v>691</v>
      </c>
      <c r="D558" s="39" t="s">
        <v>649</v>
      </c>
      <c r="E558" s="39" t="s">
        <v>658</v>
      </c>
      <c r="F558" s="39" t="s">
        <v>1517</v>
      </c>
      <c r="G558" s="39" t="s">
        <v>653</v>
      </c>
      <c r="H558" s="39" t="s">
        <v>683</v>
      </c>
      <c r="I558" s="39" t="s">
        <v>677</v>
      </c>
      <c r="J558" s="39" t="s">
        <v>709</v>
      </c>
      <c r="K558" s="39" t="s">
        <v>710</v>
      </c>
      <c r="L558" s="39" t="s">
        <v>715</v>
      </c>
      <c r="M558" s="39">
        <v>0</v>
      </c>
      <c r="N558" s="43"/>
    </row>
    <row r="559" customHeight="1" spans="1:14">
      <c r="A559" s="40">
        <v>199</v>
      </c>
      <c r="B559" s="41" t="s">
        <v>982</v>
      </c>
      <c r="C559" s="41" t="s">
        <v>674</v>
      </c>
      <c r="D559" s="41" t="s">
        <v>638</v>
      </c>
      <c r="E559" s="41" t="s">
        <v>651</v>
      </c>
      <c r="F559" s="41" t="s">
        <v>1518</v>
      </c>
      <c r="G559" s="41" t="s">
        <v>654</v>
      </c>
      <c r="H559" s="41" t="s">
        <v>718</v>
      </c>
      <c r="I559" s="41" t="s">
        <v>693</v>
      </c>
      <c r="J559" s="41" t="s">
        <v>678</v>
      </c>
      <c r="K559" s="41" t="s">
        <v>694</v>
      </c>
      <c r="L559" s="41" t="s">
        <v>680</v>
      </c>
      <c r="M559" s="41">
        <v>0.9</v>
      </c>
      <c r="N559" s="44"/>
    </row>
    <row r="560" customHeight="1" spans="1:14">
      <c r="A560" s="38">
        <v>200</v>
      </c>
      <c r="B560" s="39" t="s">
        <v>1387</v>
      </c>
      <c r="C560" s="39" t="s">
        <v>691</v>
      </c>
      <c r="D560" s="39" t="s">
        <v>647</v>
      </c>
      <c r="E560" s="39" t="s">
        <v>657</v>
      </c>
      <c r="F560" s="39" t="s">
        <v>1519</v>
      </c>
      <c r="G560" s="39" t="s">
        <v>652</v>
      </c>
      <c r="H560" s="39" t="s">
        <v>707</v>
      </c>
      <c r="I560" s="39" t="s">
        <v>700</v>
      </c>
      <c r="J560" s="39" t="s">
        <v>709</v>
      </c>
      <c r="K560" s="39" t="s">
        <v>710</v>
      </c>
      <c r="L560" s="39" t="s">
        <v>680</v>
      </c>
      <c r="M560" s="39">
        <v>0.9</v>
      </c>
      <c r="N560" s="43"/>
    </row>
    <row r="561" customHeight="1" spans="1:14">
      <c r="A561" s="40">
        <v>201</v>
      </c>
      <c r="B561" s="41" t="s">
        <v>1309</v>
      </c>
      <c r="C561" s="41" t="s">
        <v>674</v>
      </c>
      <c r="D561" s="41" t="s">
        <v>639</v>
      </c>
      <c r="E561" s="41" t="s">
        <v>657</v>
      </c>
      <c r="F561" s="41" t="s">
        <v>1520</v>
      </c>
      <c r="G561" s="41" t="s">
        <v>653</v>
      </c>
      <c r="H561" s="41" t="s">
        <v>722</v>
      </c>
      <c r="I561" s="41" t="s">
        <v>700</v>
      </c>
      <c r="J561" s="41" t="s">
        <v>678</v>
      </c>
      <c r="K561" s="41" t="s">
        <v>694</v>
      </c>
      <c r="L561" s="41" t="s">
        <v>715</v>
      </c>
      <c r="M561" s="41">
        <v>0</v>
      </c>
      <c r="N561" s="44"/>
    </row>
    <row r="562" customHeight="1" spans="1:14">
      <c r="A562" s="38">
        <v>202</v>
      </c>
      <c r="B562" s="39" t="s">
        <v>1521</v>
      </c>
      <c r="C562" s="39" t="s">
        <v>691</v>
      </c>
      <c r="D562" s="39" t="s">
        <v>647</v>
      </c>
      <c r="E562" s="39" t="s">
        <v>657</v>
      </c>
      <c r="F562" s="39" t="s">
        <v>1522</v>
      </c>
      <c r="G562" s="39" t="s">
        <v>655</v>
      </c>
      <c r="H562" s="39" t="s">
        <v>687</v>
      </c>
      <c r="I562" s="39" t="s">
        <v>688</v>
      </c>
      <c r="J562" s="39" t="s">
        <v>678</v>
      </c>
      <c r="K562" s="39" t="s">
        <v>694</v>
      </c>
      <c r="L562" s="39" t="s">
        <v>743</v>
      </c>
      <c r="M562" s="39">
        <v>0</v>
      </c>
      <c r="N562" s="43"/>
    </row>
    <row r="563" customHeight="1" spans="1:14">
      <c r="A563" s="40">
        <v>203</v>
      </c>
      <c r="B563" s="41" t="s">
        <v>1523</v>
      </c>
      <c r="C563" s="41" t="s">
        <v>691</v>
      </c>
      <c r="D563" s="41" t="s">
        <v>646</v>
      </c>
      <c r="E563" s="41" t="s">
        <v>658</v>
      </c>
      <c r="F563" s="41" t="s">
        <v>1524</v>
      </c>
      <c r="G563" s="41" t="s">
        <v>656</v>
      </c>
      <c r="H563" s="41" t="s">
        <v>718</v>
      </c>
      <c r="I563" s="41" t="s">
        <v>688</v>
      </c>
      <c r="J563" s="41" t="s">
        <v>678</v>
      </c>
      <c r="K563" s="41" t="s">
        <v>732</v>
      </c>
      <c r="L563" s="41" t="s">
        <v>695</v>
      </c>
      <c r="M563" s="41">
        <v>0.6</v>
      </c>
      <c r="N563" s="44"/>
    </row>
    <row r="564" customHeight="1" spans="1:14">
      <c r="A564" s="38">
        <v>204</v>
      </c>
      <c r="B564" s="39" t="s">
        <v>1525</v>
      </c>
      <c r="C564" s="39" t="s">
        <v>691</v>
      </c>
      <c r="D564" s="39" t="s">
        <v>646</v>
      </c>
      <c r="E564" s="39" t="s">
        <v>658</v>
      </c>
      <c r="F564" s="39" t="s">
        <v>1526</v>
      </c>
      <c r="G564" s="39" t="s">
        <v>652</v>
      </c>
      <c r="H564" s="39" t="s">
        <v>718</v>
      </c>
      <c r="I564" s="39" t="s">
        <v>700</v>
      </c>
      <c r="J564" s="39" t="s">
        <v>709</v>
      </c>
      <c r="K564" s="39" t="s">
        <v>689</v>
      </c>
      <c r="L564" s="39" t="s">
        <v>684</v>
      </c>
      <c r="M564" s="39">
        <v>0.85</v>
      </c>
      <c r="N564" s="43"/>
    </row>
    <row r="565" customHeight="1" spans="1:14">
      <c r="A565" s="40">
        <v>205</v>
      </c>
      <c r="B565" s="41" t="s">
        <v>1254</v>
      </c>
      <c r="C565" s="41" t="s">
        <v>674</v>
      </c>
      <c r="D565" s="41" t="s">
        <v>641</v>
      </c>
      <c r="E565" s="41" t="s">
        <v>658</v>
      </c>
      <c r="F565" s="41" t="s">
        <v>1527</v>
      </c>
      <c r="G565" s="41" t="s">
        <v>654</v>
      </c>
      <c r="H565" s="41" t="s">
        <v>718</v>
      </c>
      <c r="I565" s="41" t="s">
        <v>688</v>
      </c>
      <c r="J565" s="41" t="s">
        <v>678</v>
      </c>
      <c r="K565" s="41" t="s">
        <v>732</v>
      </c>
      <c r="L565" s="41" t="s">
        <v>719</v>
      </c>
      <c r="M565" s="41">
        <v>0</v>
      </c>
      <c r="N565" s="44"/>
    </row>
    <row r="566" customHeight="1" spans="1:14">
      <c r="A566" s="38">
        <v>206</v>
      </c>
      <c r="B566" s="39" t="s">
        <v>944</v>
      </c>
      <c r="C566" s="39" t="s">
        <v>674</v>
      </c>
      <c r="D566" s="39" t="s">
        <v>642</v>
      </c>
      <c r="E566" s="39" t="s">
        <v>657</v>
      </c>
      <c r="F566" s="39" t="s">
        <v>1528</v>
      </c>
      <c r="G566" s="39" t="s">
        <v>655</v>
      </c>
      <c r="H566" s="39" t="s">
        <v>687</v>
      </c>
      <c r="I566" s="39" t="s">
        <v>700</v>
      </c>
      <c r="J566" s="39" t="s">
        <v>678</v>
      </c>
      <c r="K566" s="39" t="s">
        <v>732</v>
      </c>
      <c r="L566" s="39" t="s">
        <v>715</v>
      </c>
      <c r="M566" s="39">
        <v>0</v>
      </c>
      <c r="N566" s="43"/>
    </row>
    <row r="567" customHeight="1" spans="1:14">
      <c r="A567" s="40">
        <v>207</v>
      </c>
      <c r="B567" s="41" t="s">
        <v>1003</v>
      </c>
      <c r="C567" s="41" t="s">
        <v>691</v>
      </c>
      <c r="D567" s="41" t="s">
        <v>641</v>
      </c>
      <c r="E567" s="41" t="s">
        <v>658</v>
      </c>
      <c r="F567" s="41" t="s">
        <v>1529</v>
      </c>
      <c r="G567" s="41" t="s">
        <v>653</v>
      </c>
      <c r="H567" s="41" t="s">
        <v>676</v>
      </c>
      <c r="I567" s="41" t="s">
        <v>700</v>
      </c>
      <c r="J567" s="41" t="s">
        <v>709</v>
      </c>
      <c r="K567" s="41" t="s">
        <v>694</v>
      </c>
      <c r="L567" s="41" t="s">
        <v>743</v>
      </c>
      <c r="M567" s="41">
        <v>0</v>
      </c>
      <c r="N567" s="44"/>
    </row>
    <row r="568" customHeight="1" spans="1:14">
      <c r="A568" s="38">
        <v>208</v>
      </c>
      <c r="B568" s="39" t="s">
        <v>733</v>
      </c>
      <c r="C568" s="39" t="s">
        <v>674</v>
      </c>
      <c r="D568" s="39" t="s">
        <v>648</v>
      </c>
      <c r="E568" s="39" t="s">
        <v>658</v>
      </c>
      <c r="F568" s="39" t="s">
        <v>1530</v>
      </c>
      <c r="G568" s="39" t="s">
        <v>652</v>
      </c>
      <c r="H568" s="39" t="s">
        <v>687</v>
      </c>
      <c r="I568" s="39" t="s">
        <v>693</v>
      </c>
      <c r="J568" s="39" t="s">
        <v>709</v>
      </c>
      <c r="K568" s="39" t="s">
        <v>689</v>
      </c>
      <c r="L568" s="39" t="s">
        <v>715</v>
      </c>
      <c r="M568" s="39">
        <v>0</v>
      </c>
      <c r="N568" s="43"/>
    </row>
    <row r="569" customHeight="1" spans="1:14">
      <c r="A569" s="40">
        <v>209</v>
      </c>
      <c r="B569" s="41" t="s">
        <v>1011</v>
      </c>
      <c r="C569" s="41" t="s">
        <v>703</v>
      </c>
      <c r="D569" s="41" t="s">
        <v>642</v>
      </c>
      <c r="E569" s="41" t="s">
        <v>658</v>
      </c>
      <c r="F569" s="41" t="s">
        <v>1531</v>
      </c>
      <c r="G569" s="41" t="s">
        <v>655</v>
      </c>
      <c r="H569" s="41" t="s">
        <v>707</v>
      </c>
      <c r="I569" s="41" t="s">
        <v>688</v>
      </c>
      <c r="J569" s="41" t="s">
        <v>678</v>
      </c>
      <c r="K569" s="41" t="s">
        <v>694</v>
      </c>
      <c r="L569" s="41" t="s">
        <v>743</v>
      </c>
      <c r="M569" s="41">
        <v>0</v>
      </c>
      <c r="N569" s="44"/>
    </row>
    <row r="570" customHeight="1" spans="1:14">
      <c r="A570" s="38">
        <v>210</v>
      </c>
      <c r="B570" s="39" t="s">
        <v>1215</v>
      </c>
      <c r="C570" s="39" t="s">
        <v>691</v>
      </c>
      <c r="D570" s="39" t="s">
        <v>639</v>
      </c>
      <c r="E570" s="39" t="s">
        <v>657</v>
      </c>
      <c r="F570" s="39" t="s">
        <v>1532</v>
      </c>
      <c r="G570" s="39" t="s">
        <v>654</v>
      </c>
      <c r="H570" s="39" t="s">
        <v>727</v>
      </c>
      <c r="I570" s="39" t="s">
        <v>708</v>
      </c>
      <c r="J570" s="39" t="s">
        <v>678</v>
      </c>
      <c r="K570" s="39" t="s">
        <v>732</v>
      </c>
      <c r="L570" s="39" t="s">
        <v>743</v>
      </c>
      <c r="M570" s="39">
        <v>0</v>
      </c>
      <c r="N570" s="43"/>
    </row>
    <row r="571" customHeight="1" spans="1:14">
      <c r="A571" s="40">
        <v>211</v>
      </c>
      <c r="B571" s="41" t="s">
        <v>946</v>
      </c>
      <c r="C571" s="41" t="s">
        <v>691</v>
      </c>
      <c r="D571" s="41" t="s">
        <v>641</v>
      </c>
      <c r="E571" s="41" t="s">
        <v>657</v>
      </c>
      <c r="F571" s="41" t="s">
        <v>1533</v>
      </c>
      <c r="G571" s="41" t="s">
        <v>653</v>
      </c>
      <c r="H571" s="41" t="s">
        <v>687</v>
      </c>
      <c r="I571" s="41" t="s">
        <v>693</v>
      </c>
      <c r="J571" s="41" t="s">
        <v>678</v>
      </c>
      <c r="K571" s="41" t="s">
        <v>701</v>
      </c>
      <c r="L571" s="41" t="s">
        <v>715</v>
      </c>
      <c r="M571" s="41">
        <v>0</v>
      </c>
      <c r="N571" s="44"/>
    </row>
    <row r="572" customHeight="1" spans="1:14">
      <c r="A572" s="38">
        <v>212</v>
      </c>
      <c r="B572" s="39" t="s">
        <v>1057</v>
      </c>
      <c r="C572" s="39" t="s">
        <v>691</v>
      </c>
      <c r="D572" s="39" t="s">
        <v>644</v>
      </c>
      <c r="E572" s="39" t="s">
        <v>658</v>
      </c>
      <c r="F572" s="39" t="s">
        <v>1534</v>
      </c>
      <c r="G572" s="39" t="s">
        <v>653</v>
      </c>
      <c r="H572" s="39" t="s">
        <v>676</v>
      </c>
      <c r="I572" s="39" t="s">
        <v>693</v>
      </c>
      <c r="J572" s="39" t="s">
        <v>678</v>
      </c>
      <c r="K572" s="39" t="s">
        <v>732</v>
      </c>
      <c r="L572" s="39" t="s">
        <v>684</v>
      </c>
      <c r="M572" s="39">
        <v>0.85</v>
      </c>
      <c r="N572" s="43"/>
    </row>
    <row r="573" customHeight="1" spans="1:14">
      <c r="A573" s="40">
        <v>213</v>
      </c>
      <c r="B573" s="41" t="s">
        <v>1382</v>
      </c>
      <c r="C573" s="41" t="s">
        <v>691</v>
      </c>
      <c r="D573" s="41" t="s">
        <v>641</v>
      </c>
      <c r="E573" s="41" t="s">
        <v>657</v>
      </c>
      <c r="F573" s="41" t="s">
        <v>1535</v>
      </c>
      <c r="G573" s="41" t="s">
        <v>656</v>
      </c>
      <c r="H573" s="41" t="s">
        <v>676</v>
      </c>
      <c r="I573" s="41" t="s">
        <v>708</v>
      </c>
      <c r="J573" s="41" t="s">
        <v>709</v>
      </c>
      <c r="K573" s="41" t="s">
        <v>694</v>
      </c>
      <c r="L573" s="41" t="s">
        <v>719</v>
      </c>
      <c r="M573" s="41">
        <v>0</v>
      </c>
      <c r="N573" s="44"/>
    </row>
    <row r="574" customHeight="1" spans="1:14">
      <c r="A574" s="38">
        <v>214</v>
      </c>
      <c r="B574" s="39" t="s">
        <v>1536</v>
      </c>
      <c r="C574" s="39" t="s">
        <v>691</v>
      </c>
      <c r="D574" s="39" t="s">
        <v>647</v>
      </c>
      <c r="E574" s="39" t="s">
        <v>657</v>
      </c>
      <c r="F574" s="39" t="s">
        <v>1537</v>
      </c>
      <c r="G574" s="39" t="s">
        <v>655</v>
      </c>
      <c r="H574" s="39" t="s">
        <v>707</v>
      </c>
      <c r="I574" s="39" t="s">
        <v>677</v>
      </c>
      <c r="J574" s="39" t="s">
        <v>709</v>
      </c>
      <c r="K574" s="39" t="s">
        <v>689</v>
      </c>
      <c r="L574" s="39" t="s">
        <v>680</v>
      </c>
      <c r="M574" s="39">
        <v>0.9</v>
      </c>
      <c r="N574" s="43"/>
    </row>
    <row r="575" customHeight="1" spans="1:14">
      <c r="A575" s="40">
        <v>215</v>
      </c>
      <c r="B575" s="41" t="s">
        <v>993</v>
      </c>
      <c r="C575" s="41" t="s">
        <v>674</v>
      </c>
      <c r="D575" s="41" t="s">
        <v>646</v>
      </c>
      <c r="E575" s="41" t="s">
        <v>658</v>
      </c>
      <c r="F575" s="41" t="s">
        <v>1538</v>
      </c>
      <c r="G575" s="41" t="s">
        <v>652</v>
      </c>
      <c r="H575" s="41" t="s">
        <v>727</v>
      </c>
      <c r="I575" s="41" t="s">
        <v>688</v>
      </c>
      <c r="J575" s="41" t="s">
        <v>678</v>
      </c>
      <c r="K575" s="41" t="s">
        <v>701</v>
      </c>
      <c r="L575" s="41" t="s">
        <v>715</v>
      </c>
      <c r="M575" s="41">
        <v>0</v>
      </c>
      <c r="N575" s="44"/>
    </row>
    <row r="576" customHeight="1" spans="1:14">
      <c r="A576" s="38">
        <v>216</v>
      </c>
      <c r="B576" s="39" t="s">
        <v>1274</v>
      </c>
      <c r="C576" s="39" t="s">
        <v>691</v>
      </c>
      <c r="D576" s="39" t="s">
        <v>642</v>
      </c>
      <c r="E576" s="39" t="s">
        <v>658</v>
      </c>
      <c r="F576" s="39" t="s">
        <v>1539</v>
      </c>
      <c r="G576" s="39" t="s">
        <v>652</v>
      </c>
      <c r="H576" s="39" t="s">
        <v>676</v>
      </c>
      <c r="I576" s="39" t="s">
        <v>693</v>
      </c>
      <c r="J576" s="39" t="s">
        <v>678</v>
      </c>
      <c r="K576" s="39" t="s">
        <v>710</v>
      </c>
      <c r="L576" s="39" t="s">
        <v>684</v>
      </c>
      <c r="M576" s="39">
        <v>0.85</v>
      </c>
      <c r="N576" s="43"/>
    </row>
    <row r="577" customHeight="1" spans="1:14">
      <c r="A577" s="40">
        <v>217</v>
      </c>
      <c r="B577" s="41" t="s">
        <v>1229</v>
      </c>
      <c r="C577" s="41" t="s">
        <v>691</v>
      </c>
      <c r="D577" s="41" t="s">
        <v>647</v>
      </c>
      <c r="E577" s="41" t="s">
        <v>658</v>
      </c>
      <c r="F577" s="41" t="s">
        <v>1540</v>
      </c>
      <c r="G577" s="41" t="s">
        <v>655</v>
      </c>
      <c r="H577" s="41" t="s">
        <v>707</v>
      </c>
      <c r="I577" s="41" t="s">
        <v>688</v>
      </c>
      <c r="J577" s="41" t="s">
        <v>678</v>
      </c>
      <c r="K577" s="41" t="s">
        <v>701</v>
      </c>
      <c r="L577" s="41" t="s">
        <v>680</v>
      </c>
      <c r="M577" s="41">
        <v>0.9</v>
      </c>
      <c r="N577" s="44"/>
    </row>
    <row r="578" customHeight="1" spans="1:14">
      <c r="A578" s="38">
        <v>218</v>
      </c>
      <c r="B578" s="39" t="s">
        <v>1345</v>
      </c>
      <c r="C578" s="39" t="s">
        <v>674</v>
      </c>
      <c r="D578" s="39" t="s">
        <v>647</v>
      </c>
      <c r="E578" s="39" t="s">
        <v>658</v>
      </c>
      <c r="F578" s="39" t="s">
        <v>1541</v>
      </c>
      <c r="G578" s="39" t="s">
        <v>652</v>
      </c>
      <c r="H578" s="39" t="s">
        <v>707</v>
      </c>
      <c r="I578" s="39" t="s">
        <v>688</v>
      </c>
      <c r="J578" s="39" t="s">
        <v>709</v>
      </c>
      <c r="K578" s="39" t="s">
        <v>689</v>
      </c>
      <c r="L578" s="39" t="s">
        <v>715</v>
      </c>
      <c r="M578" s="39">
        <v>0</v>
      </c>
      <c r="N578" s="43"/>
    </row>
    <row r="579" customHeight="1" spans="1:14">
      <c r="A579" s="40">
        <v>219</v>
      </c>
      <c r="B579" s="41" t="s">
        <v>830</v>
      </c>
      <c r="C579" s="41" t="s">
        <v>691</v>
      </c>
      <c r="D579" s="41" t="s">
        <v>646</v>
      </c>
      <c r="E579" s="41" t="s">
        <v>657</v>
      </c>
      <c r="F579" s="41" t="s">
        <v>1542</v>
      </c>
      <c r="G579" s="41" t="s">
        <v>654</v>
      </c>
      <c r="H579" s="41" t="s">
        <v>718</v>
      </c>
      <c r="I579" s="41" t="s">
        <v>688</v>
      </c>
      <c r="J579" s="41" t="s">
        <v>678</v>
      </c>
      <c r="K579" s="41" t="s">
        <v>679</v>
      </c>
      <c r="L579" s="41" t="s">
        <v>684</v>
      </c>
      <c r="M579" s="41">
        <v>0.85</v>
      </c>
      <c r="N579" s="44"/>
    </row>
    <row r="580" customHeight="1" spans="1:14">
      <c r="A580" s="38">
        <v>220</v>
      </c>
      <c r="B580" s="39" t="s">
        <v>1027</v>
      </c>
      <c r="C580" s="39" t="s">
        <v>691</v>
      </c>
      <c r="D580" s="39" t="s">
        <v>638</v>
      </c>
      <c r="E580" s="39" t="s">
        <v>657</v>
      </c>
      <c r="F580" s="39" t="s">
        <v>1543</v>
      </c>
      <c r="G580" s="39" t="s">
        <v>656</v>
      </c>
      <c r="H580" s="39" t="s">
        <v>718</v>
      </c>
      <c r="I580" s="39" t="s">
        <v>677</v>
      </c>
      <c r="J580" s="39" t="s">
        <v>678</v>
      </c>
      <c r="K580" s="39" t="s">
        <v>701</v>
      </c>
      <c r="L580" s="39" t="s">
        <v>719</v>
      </c>
      <c r="M580" s="39">
        <v>0</v>
      </c>
      <c r="N580" s="43"/>
    </row>
    <row r="581" customHeight="1" spans="1:14">
      <c r="A581" s="40">
        <v>221</v>
      </c>
      <c r="B581" s="41" t="s">
        <v>809</v>
      </c>
      <c r="C581" s="41" t="s">
        <v>691</v>
      </c>
      <c r="D581" s="41" t="s">
        <v>647</v>
      </c>
      <c r="E581" s="41" t="s">
        <v>658</v>
      </c>
      <c r="F581" s="41" t="s">
        <v>1544</v>
      </c>
      <c r="G581" s="41" t="s">
        <v>652</v>
      </c>
      <c r="H581" s="41" t="s">
        <v>707</v>
      </c>
      <c r="I581" s="41" t="s">
        <v>688</v>
      </c>
      <c r="J581" s="41" t="s">
        <v>709</v>
      </c>
      <c r="K581" s="41" t="s">
        <v>679</v>
      </c>
      <c r="L581" s="41" t="s">
        <v>695</v>
      </c>
      <c r="M581" s="41">
        <v>0.6</v>
      </c>
      <c r="N581" s="44"/>
    </row>
    <row r="582" customHeight="1" spans="1:14">
      <c r="A582" s="38">
        <v>222</v>
      </c>
      <c r="B582" s="39" t="s">
        <v>1545</v>
      </c>
      <c r="C582" s="39" t="s">
        <v>691</v>
      </c>
      <c r="D582" s="39" t="s">
        <v>643</v>
      </c>
      <c r="E582" s="39" t="s">
        <v>657</v>
      </c>
      <c r="F582" s="39" t="s">
        <v>1546</v>
      </c>
      <c r="G582" s="39" t="s">
        <v>654</v>
      </c>
      <c r="H582" s="39" t="s">
        <v>687</v>
      </c>
      <c r="I582" s="39" t="s">
        <v>677</v>
      </c>
      <c r="J582" s="39" t="s">
        <v>678</v>
      </c>
      <c r="K582" s="39" t="s">
        <v>679</v>
      </c>
      <c r="L582" s="39" t="s">
        <v>715</v>
      </c>
      <c r="M582" s="39">
        <v>0</v>
      </c>
      <c r="N582" s="43"/>
    </row>
    <row r="583" customHeight="1" spans="1:14">
      <c r="A583" s="40">
        <v>223</v>
      </c>
      <c r="B583" s="41" t="s">
        <v>1132</v>
      </c>
      <c r="C583" s="41" t="s">
        <v>691</v>
      </c>
      <c r="D583" s="41" t="s">
        <v>647</v>
      </c>
      <c r="E583" s="41" t="s">
        <v>657</v>
      </c>
      <c r="F583" s="41" t="s">
        <v>1547</v>
      </c>
      <c r="G583" s="41" t="s">
        <v>653</v>
      </c>
      <c r="H583" s="41" t="s">
        <v>687</v>
      </c>
      <c r="I583" s="41" t="s">
        <v>688</v>
      </c>
      <c r="J583" s="41" t="s">
        <v>678</v>
      </c>
      <c r="K583" s="41" t="s">
        <v>732</v>
      </c>
      <c r="L583" s="41" t="s">
        <v>695</v>
      </c>
      <c r="M583" s="41">
        <v>0.6</v>
      </c>
      <c r="N583" s="44"/>
    </row>
    <row r="584" customHeight="1" spans="1:14">
      <c r="A584" s="38">
        <v>224</v>
      </c>
      <c r="B584" s="39" t="s">
        <v>1494</v>
      </c>
      <c r="C584" s="39" t="s">
        <v>691</v>
      </c>
      <c r="D584" s="39" t="s">
        <v>649</v>
      </c>
      <c r="E584" s="39" t="s">
        <v>658</v>
      </c>
      <c r="F584" s="39" t="s">
        <v>1548</v>
      </c>
      <c r="G584" s="39" t="s">
        <v>653</v>
      </c>
      <c r="H584" s="39" t="s">
        <v>687</v>
      </c>
      <c r="I584" s="39" t="s">
        <v>700</v>
      </c>
      <c r="J584" s="39" t="s">
        <v>709</v>
      </c>
      <c r="K584" s="39" t="s">
        <v>701</v>
      </c>
      <c r="L584" s="39" t="s">
        <v>715</v>
      </c>
      <c r="M584" s="39">
        <v>0</v>
      </c>
      <c r="N584" s="43"/>
    </row>
    <row r="585" customHeight="1" spans="1:14">
      <c r="A585" s="40">
        <v>225</v>
      </c>
      <c r="B585" s="41" t="s">
        <v>879</v>
      </c>
      <c r="C585" s="41" t="s">
        <v>691</v>
      </c>
      <c r="D585" s="41" t="s">
        <v>646</v>
      </c>
      <c r="E585" s="41" t="s">
        <v>651</v>
      </c>
      <c r="F585" s="41" t="s">
        <v>1549</v>
      </c>
      <c r="G585" s="41" t="s">
        <v>653</v>
      </c>
      <c r="H585" s="41" t="s">
        <v>722</v>
      </c>
      <c r="I585" s="41" t="s">
        <v>700</v>
      </c>
      <c r="J585" s="41" t="s">
        <v>709</v>
      </c>
      <c r="K585" s="41" t="s">
        <v>701</v>
      </c>
      <c r="L585" s="41" t="s">
        <v>684</v>
      </c>
      <c r="M585" s="41">
        <v>0.85</v>
      </c>
      <c r="N585" s="44"/>
    </row>
    <row r="586" customHeight="1" spans="1:14">
      <c r="A586" s="38">
        <v>226</v>
      </c>
      <c r="B586" s="39" t="s">
        <v>1499</v>
      </c>
      <c r="C586" s="39" t="s">
        <v>691</v>
      </c>
      <c r="D586" s="39" t="s">
        <v>646</v>
      </c>
      <c r="E586" s="39" t="s">
        <v>658</v>
      </c>
      <c r="F586" s="39" t="s">
        <v>1550</v>
      </c>
      <c r="G586" s="39" t="s">
        <v>654</v>
      </c>
      <c r="H586" s="39" t="s">
        <v>722</v>
      </c>
      <c r="I586" s="39" t="s">
        <v>708</v>
      </c>
      <c r="J586" s="39" t="s">
        <v>678</v>
      </c>
      <c r="K586" s="39" t="s">
        <v>701</v>
      </c>
      <c r="L586" s="39" t="s">
        <v>695</v>
      </c>
      <c r="M586" s="39">
        <v>0.6</v>
      </c>
      <c r="N586" s="43"/>
    </row>
    <row r="587" customHeight="1" spans="1:14">
      <c r="A587" s="40">
        <v>227</v>
      </c>
      <c r="B587" s="41" t="s">
        <v>919</v>
      </c>
      <c r="C587" s="41" t="s">
        <v>674</v>
      </c>
      <c r="D587" s="41" t="s">
        <v>646</v>
      </c>
      <c r="E587" s="41" t="s">
        <v>657</v>
      </c>
      <c r="F587" s="41" t="s">
        <v>1551</v>
      </c>
      <c r="G587" s="41" t="s">
        <v>655</v>
      </c>
      <c r="H587" s="41" t="s">
        <v>707</v>
      </c>
      <c r="I587" s="41" t="s">
        <v>708</v>
      </c>
      <c r="J587" s="41" t="s">
        <v>678</v>
      </c>
      <c r="K587" s="41" t="s">
        <v>679</v>
      </c>
      <c r="L587" s="41" t="s">
        <v>680</v>
      </c>
      <c r="M587" s="41">
        <v>0.9</v>
      </c>
      <c r="N587" s="44"/>
    </row>
    <row r="588" customHeight="1" spans="1:14">
      <c r="A588" s="38">
        <v>228</v>
      </c>
      <c r="B588" s="39" t="s">
        <v>1552</v>
      </c>
      <c r="C588" s="39" t="s">
        <v>691</v>
      </c>
      <c r="D588" s="39" t="s">
        <v>648</v>
      </c>
      <c r="E588" s="39" t="s">
        <v>658</v>
      </c>
      <c r="F588" s="39" t="s">
        <v>1553</v>
      </c>
      <c r="G588" s="39" t="s">
        <v>656</v>
      </c>
      <c r="H588" s="39" t="s">
        <v>707</v>
      </c>
      <c r="I588" s="39" t="s">
        <v>693</v>
      </c>
      <c r="J588" s="39" t="s">
        <v>709</v>
      </c>
      <c r="K588" s="39" t="s">
        <v>679</v>
      </c>
      <c r="L588" s="39" t="s">
        <v>680</v>
      </c>
      <c r="M588" s="39">
        <v>0.9</v>
      </c>
      <c r="N588" s="43"/>
    </row>
    <row r="589" customHeight="1" spans="1:14">
      <c r="A589" s="40">
        <v>229</v>
      </c>
      <c r="B589" s="41" t="s">
        <v>946</v>
      </c>
      <c r="C589" s="41" t="s">
        <v>691</v>
      </c>
      <c r="D589" s="41" t="s">
        <v>641</v>
      </c>
      <c r="E589" s="41" t="s">
        <v>657</v>
      </c>
      <c r="F589" s="41" t="s">
        <v>1554</v>
      </c>
      <c r="G589" s="41" t="s">
        <v>653</v>
      </c>
      <c r="H589" s="41" t="s">
        <v>718</v>
      </c>
      <c r="I589" s="41" t="s">
        <v>700</v>
      </c>
      <c r="J589" s="41" t="s">
        <v>709</v>
      </c>
      <c r="K589" s="41" t="s">
        <v>694</v>
      </c>
      <c r="L589" s="41" t="s">
        <v>695</v>
      </c>
      <c r="M589" s="41">
        <v>0.6</v>
      </c>
      <c r="N589" s="44"/>
    </row>
    <row r="590" customHeight="1" spans="1:14">
      <c r="A590" s="38">
        <v>230</v>
      </c>
      <c r="B590" s="39" t="s">
        <v>673</v>
      </c>
      <c r="C590" s="39" t="s">
        <v>674</v>
      </c>
      <c r="D590" s="39" t="s">
        <v>641</v>
      </c>
      <c r="E590" s="39" t="s">
        <v>657</v>
      </c>
      <c r="F590" s="39" t="s">
        <v>1555</v>
      </c>
      <c r="G590" s="39" t="s">
        <v>655</v>
      </c>
      <c r="H590" s="39" t="s">
        <v>707</v>
      </c>
      <c r="I590" s="39" t="s">
        <v>708</v>
      </c>
      <c r="J590" s="39" t="s">
        <v>678</v>
      </c>
      <c r="K590" s="39" t="s">
        <v>710</v>
      </c>
      <c r="L590" s="39" t="s">
        <v>715</v>
      </c>
      <c r="M590" s="39">
        <v>0</v>
      </c>
      <c r="N590" s="43"/>
    </row>
    <row r="591" customHeight="1" spans="1:14">
      <c r="A591" s="40">
        <v>231</v>
      </c>
      <c r="B591" s="41" t="s">
        <v>1556</v>
      </c>
      <c r="C591" s="41" t="s">
        <v>674</v>
      </c>
      <c r="D591" s="41" t="s">
        <v>638</v>
      </c>
      <c r="E591" s="41" t="s">
        <v>657</v>
      </c>
      <c r="F591" s="41" t="s">
        <v>1557</v>
      </c>
      <c r="G591" s="41" t="s">
        <v>652</v>
      </c>
      <c r="H591" s="41" t="s">
        <v>707</v>
      </c>
      <c r="I591" s="41" t="s">
        <v>693</v>
      </c>
      <c r="J591" s="41" t="s">
        <v>678</v>
      </c>
      <c r="K591" s="41" t="s">
        <v>701</v>
      </c>
      <c r="L591" s="41" t="s">
        <v>743</v>
      </c>
      <c r="M591" s="41">
        <v>0</v>
      </c>
      <c r="N591" s="44"/>
    </row>
    <row r="592" customHeight="1" spans="1:14">
      <c r="A592" s="38">
        <v>232</v>
      </c>
      <c r="B592" s="39" t="s">
        <v>1558</v>
      </c>
      <c r="C592" s="39" t="s">
        <v>691</v>
      </c>
      <c r="D592" s="39" t="s">
        <v>644</v>
      </c>
      <c r="E592" s="39" t="s">
        <v>657</v>
      </c>
      <c r="F592" s="39" t="s">
        <v>1559</v>
      </c>
      <c r="G592" s="39" t="s">
        <v>653</v>
      </c>
      <c r="H592" s="39" t="s">
        <v>676</v>
      </c>
      <c r="I592" s="39" t="s">
        <v>688</v>
      </c>
      <c r="J592" s="39" t="s">
        <v>678</v>
      </c>
      <c r="K592" s="39" t="s">
        <v>732</v>
      </c>
      <c r="L592" s="39" t="s">
        <v>680</v>
      </c>
      <c r="M592" s="39">
        <v>0.9</v>
      </c>
      <c r="N592" s="43"/>
    </row>
    <row r="593" customHeight="1" spans="1:14">
      <c r="A593" s="40">
        <v>233</v>
      </c>
      <c r="B593" s="41" t="s">
        <v>1560</v>
      </c>
      <c r="C593" s="41" t="s">
        <v>691</v>
      </c>
      <c r="D593" s="41" t="s">
        <v>642</v>
      </c>
      <c r="E593" s="41" t="s">
        <v>658</v>
      </c>
      <c r="F593" s="41" t="s">
        <v>1561</v>
      </c>
      <c r="G593" s="41" t="s">
        <v>654</v>
      </c>
      <c r="H593" s="41" t="s">
        <v>727</v>
      </c>
      <c r="I593" s="41" t="s">
        <v>708</v>
      </c>
      <c r="J593" s="41" t="s">
        <v>678</v>
      </c>
      <c r="K593" s="41" t="s">
        <v>694</v>
      </c>
      <c r="L593" s="41" t="s">
        <v>684</v>
      </c>
      <c r="M593" s="41">
        <v>0.85</v>
      </c>
      <c r="N593" s="44"/>
    </row>
    <row r="594" customHeight="1" spans="1:14">
      <c r="A594" s="38">
        <v>234</v>
      </c>
      <c r="B594" s="39" t="s">
        <v>1525</v>
      </c>
      <c r="C594" s="39" t="s">
        <v>691</v>
      </c>
      <c r="D594" s="39" t="s">
        <v>646</v>
      </c>
      <c r="E594" s="39" t="s">
        <v>658</v>
      </c>
      <c r="F594" s="39" t="s">
        <v>1562</v>
      </c>
      <c r="G594" s="39" t="s">
        <v>652</v>
      </c>
      <c r="H594" s="39" t="s">
        <v>722</v>
      </c>
      <c r="I594" s="39" t="s">
        <v>677</v>
      </c>
      <c r="J594" s="39" t="s">
        <v>709</v>
      </c>
      <c r="K594" s="39" t="s">
        <v>679</v>
      </c>
      <c r="L594" s="39" t="s">
        <v>715</v>
      </c>
      <c r="M594" s="39">
        <v>0</v>
      </c>
      <c r="N594" s="43"/>
    </row>
    <row r="595" customHeight="1" spans="1:14">
      <c r="A595" s="40">
        <v>235</v>
      </c>
      <c r="B595" s="41" t="s">
        <v>792</v>
      </c>
      <c r="C595" s="41" t="s">
        <v>691</v>
      </c>
      <c r="D595" s="41" t="s">
        <v>642</v>
      </c>
      <c r="E595" s="41" t="s">
        <v>657</v>
      </c>
      <c r="F595" s="41" t="s">
        <v>1563</v>
      </c>
      <c r="G595" s="41" t="s">
        <v>653</v>
      </c>
      <c r="H595" s="41" t="s">
        <v>676</v>
      </c>
      <c r="I595" s="41" t="s">
        <v>693</v>
      </c>
      <c r="J595" s="41" t="s">
        <v>678</v>
      </c>
      <c r="K595" s="41" t="s">
        <v>710</v>
      </c>
      <c r="L595" s="41" t="s">
        <v>695</v>
      </c>
      <c r="M595" s="41">
        <v>0.6</v>
      </c>
      <c r="N595" s="44"/>
    </row>
    <row r="596" customHeight="1" spans="1:14">
      <c r="A596" s="38">
        <v>236</v>
      </c>
      <c r="B596" s="39" t="s">
        <v>1267</v>
      </c>
      <c r="C596" s="39" t="s">
        <v>691</v>
      </c>
      <c r="D596" s="39" t="s">
        <v>639</v>
      </c>
      <c r="E596" s="39" t="s">
        <v>658</v>
      </c>
      <c r="F596" s="39" t="s">
        <v>1564</v>
      </c>
      <c r="G596" s="39" t="s">
        <v>656</v>
      </c>
      <c r="H596" s="39" t="s">
        <v>683</v>
      </c>
      <c r="I596" s="39" t="s">
        <v>708</v>
      </c>
      <c r="J596" s="39" t="s">
        <v>678</v>
      </c>
      <c r="K596" s="39" t="s">
        <v>689</v>
      </c>
      <c r="L596" s="39" t="s">
        <v>680</v>
      </c>
      <c r="M596" s="39">
        <v>0.9</v>
      </c>
      <c r="N596" s="43"/>
    </row>
    <row r="597" customHeight="1" spans="1:14">
      <c r="A597" s="40">
        <v>237</v>
      </c>
      <c r="B597" s="41" t="s">
        <v>794</v>
      </c>
      <c r="C597" s="41" t="s">
        <v>674</v>
      </c>
      <c r="D597" s="41" t="s">
        <v>647</v>
      </c>
      <c r="E597" s="41" t="s">
        <v>657</v>
      </c>
      <c r="F597" s="41" t="s">
        <v>1565</v>
      </c>
      <c r="G597" s="41" t="s">
        <v>656</v>
      </c>
      <c r="H597" s="41" t="s">
        <v>718</v>
      </c>
      <c r="I597" s="41" t="s">
        <v>677</v>
      </c>
      <c r="J597" s="41" t="s">
        <v>678</v>
      </c>
      <c r="K597" s="41" t="s">
        <v>679</v>
      </c>
      <c r="L597" s="41" t="s">
        <v>695</v>
      </c>
      <c r="M597" s="41">
        <v>0.6</v>
      </c>
      <c r="N597" s="44"/>
    </row>
    <row r="598" customHeight="1" spans="1:14">
      <c r="A598" s="38">
        <v>238</v>
      </c>
      <c r="B598" s="39" t="s">
        <v>1489</v>
      </c>
      <c r="C598" s="39" t="s">
        <v>691</v>
      </c>
      <c r="D598" s="39" t="s">
        <v>644</v>
      </c>
      <c r="E598" s="39" t="s">
        <v>658</v>
      </c>
      <c r="F598" s="39" t="s">
        <v>1566</v>
      </c>
      <c r="G598" s="39" t="s">
        <v>656</v>
      </c>
      <c r="H598" s="39" t="s">
        <v>683</v>
      </c>
      <c r="I598" s="39" t="s">
        <v>708</v>
      </c>
      <c r="J598" s="39" t="s">
        <v>678</v>
      </c>
      <c r="K598" s="39" t="s">
        <v>710</v>
      </c>
      <c r="L598" s="39" t="s">
        <v>743</v>
      </c>
      <c r="M598" s="39">
        <v>0</v>
      </c>
      <c r="N598" s="43"/>
    </row>
    <row r="599" customHeight="1" spans="1:14">
      <c r="A599" s="40">
        <v>239</v>
      </c>
      <c r="B599" s="41" t="s">
        <v>988</v>
      </c>
      <c r="C599" s="41" t="s">
        <v>691</v>
      </c>
      <c r="D599" s="41" t="s">
        <v>640</v>
      </c>
      <c r="E599" s="41" t="s">
        <v>658</v>
      </c>
      <c r="F599" s="41" t="s">
        <v>1567</v>
      </c>
      <c r="G599" s="41" t="s">
        <v>656</v>
      </c>
      <c r="H599" s="41" t="s">
        <v>707</v>
      </c>
      <c r="I599" s="41" t="s">
        <v>708</v>
      </c>
      <c r="J599" s="41" t="s">
        <v>709</v>
      </c>
      <c r="K599" s="41" t="s">
        <v>732</v>
      </c>
      <c r="L599" s="41" t="s">
        <v>695</v>
      </c>
      <c r="M599" s="41">
        <v>0.6</v>
      </c>
      <c r="N599" s="44"/>
    </row>
    <row r="600" customHeight="1" spans="1:14">
      <c r="A600" s="38">
        <v>240</v>
      </c>
      <c r="B600" s="39" t="s">
        <v>816</v>
      </c>
      <c r="C600" s="39" t="s">
        <v>674</v>
      </c>
      <c r="D600" s="39" t="s">
        <v>639</v>
      </c>
      <c r="E600" s="39" t="s">
        <v>658</v>
      </c>
      <c r="F600" s="39" t="s">
        <v>1568</v>
      </c>
      <c r="G600" s="39" t="s">
        <v>652</v>
      </c>
      <c r="H600" s="39" t="s">
        <v>683</v>
      </c>
      <c r="I600" s="39" t="s">
        <v>693</v>
      </c>
      <c r="J600" s="39" t="s">
        <v>709</v>
      </c>
      <c r="K600" s="39" t="s">
        <v>694</v>
      </c>
      <c r="L600" s="39" t="s">
        <v>695</v>
      </c>
      <c r="M600" s="39">
        <v>0.6</v>
      </c>
      <c r="N600" s="43"/>
    </row>
    <row r="601" customHeight="1" spans="1:14">
      <c r="A601" s="40">
        <v>241</v>
      </c>
      <c r="B601" s="41" t="s">
        <v>809</v>
      </c>
      <c r="C601" s="41" t="s">
        <v>691</v>
      </c>
      <c r="D601" s="41" t="s">
        <v>647</v>
      </c>
      <c r="E601" s="41" t="s">
        <v>658</v>
      </c>
      <c r="F601" s="41" t="s">
        <v>1569</v>
      </c>
      <c r="G601" s="41" t="s">
        <v>654</v>
      </c>
      <c r="H601" s="41" t="s">
        <v>707</v>
      </c>
      <c r="I601" s="41" t="s">
        <v>688</v>
      </c>
      <c r="J601" s="41" t="s">
        <v>678</v>
      </c>
      <c r="K601" s="41" t="s">
        <v>689</v>
      </c>
      <c r="L601" s="41" t="s">
        <v>715</v>
      </c>
      <c r="M601" s="41">
        <v>0</v>
      </c>
      <c r="N601" s="44"/>
    </row>
    <row r="602" customHeight="1" spans="1:14">
      <c r="A602" s="38">
        <v>242</v>
      </c>
      <c r="B602" s="39" t="s">
        <v>1124</v>
      </c>
      <c r="C602" s="39" t="s">
        <v>674</v>
      </c>
      <c r="D602" s="39" t="s">
        <v>646</v>
      </c>
      <c r="E602" s="39" t="s">
        <v>657</v>
      </c>
      <c r="F602" s="39" t="s">
        <v>1570</v>
      </c>
      <c r="G602" s="39" t="s">
        <v>654</v>
      </c>
      <c r="H602" s="39" t="s">
        <v>707</v>
      </c>
      <c r="I602" s="39" t="s">
        <v>688</v>
      </c>
      <c r="J602" s="39" t="s">
        <v>678</v>
      </c>
      <c r="K602" s="39" t="s">
        <v>679</v>
      </c>
      <c r="L602" s="39" t="s">
        <v>743</v>
      </c>
      <c r="M602" s="39">
        <v>0</v>
      </c>
      <c r="N602" s="43"/>
    </row>
    <row r="603" customHeight="1" spans="1:14">
      <c r="A603" s="40">
        <v>243</v>
      </c>
      <c r="B603" s="41" t="s">
        <v>1145</v>
      </c>
      <c r="C603" s="41" t="s">
        <v>691</v>
      </c>
      <c r="D603" s="41" t="s">
        <v>639</v>
      </c>
      <c r="E603" s="41" t="s">
        <v>657</v>
      </c>
      <c r="F603" s="41" t="s">
        <v>1571</v>
      </c>
      <c r="G603" s="41" t="s">
        <v>655</v>
      </c>
      <c r="H603" s="41" t="s">
        <v>707</v>
      </c>
      <c r="I603" s="41" t="s">
        <v>688</v>
      </c>
      <c r="J603" s="41" t="s">
        <v>678</v>
      </c>
      <c r="K603" s="41" t="s">
        <v>694</v>
      </c>
      <c r="L603" s="41" t="s">
        <v>715</v>
      </c>
      <c r="M603" s="41">
        <v>0</v>
      </c>
      <c r="N603" s="44"/>
    </row>
    <row r="604" customHeight="1" spans="1:14">
      <c r="A604" s="38">
        <v>244</v>
      </c>
      <c r="B604" s="39" t="s">
        <v>1572</v>
      </c>
      <c r="C604" s="39" t="s">
        <v>691</v>
      </c>
      <c r="D604" s="39" t="s">
        <v>647</v>
      </c>
      <c r="E604" s="39" t="s">
        <v>657</v>
      </c>
      <c r="F604" s="39" t="s">
        <v>1573</v>
      </c>
      <c r="G604" s="39" t="s">
        <v>656</v>
      </c>
      <c r="H604" s="39" t="s">
        <v>727</v>
      </c>
      <c r="I604" s="39" t="s">
        <v>677</v>
      </c>
      <c r="J604" s="39" t="s">
        <v>678</v>
      </c>
      <c r="K604" s="39" t="s">
        <v>689</v>
      </c>
      <c r="L604" s="39" t="s">
        <v>684</v>
      </c>
      <c r="M604" s="39">
        <v>0.85</v>
      </c>
      <c r="N604" s="43"/>
    </row>
    <row r="605" customHeight="1" spans="1:14">
      <c r="A605" s="40">
        <v>245</v>
      </c>
      <c r="B605" s="41" t="s">
        <v>977</v>
      </c>
      <c r="C605" s="41" t="s">
        <v>691</v>
      </c>
      <c r="D605" s="41" t="s">
        <v>647</v>
      </c>
      <c r="E605" s="41" t="s">
        <v>657</v>
      </c>
      <c r="F605" s="41" t="s">
        <v>1574</v>
      </c>
      <c r="G605" s="41" t="s">
        <v>656</v>
      </c>
      <c r="H605" s="41" t="s">
        <v>722</v>
      </c>
      <c r="I605" s="41" t="s">
        <v>693</v>
      </c>
      <c r="J605" s="41" t="s">
        <v>678</v>
      </c>
      <c r="K605" s="41" t="s">
        <v>694</v>
      </c>
      <c r="L605" s="41" t="s">
        <v>715</v>
      </c>
      <c r="M605" s="41">
        <v>0</v>
      </c>
      <c r="N605" s="44"/>
    </row>
    <row r="606" customHeight="1" spans="1:14">
      <c r="A606" s="38">
        <v>246</v>
      </c>
      <c r="B606" s="39" t="s">
        <v>1469</v>
      </c>
      <c r="C606" s="39" t="s">
        <v>674</v>
      </c>
      <c r="D606" s="39" t="s">
        <v>649</v>
      </c>
      <c r="E606" s="39" t="s">
        <v>657</v>
      </c>
      <c r="F606" s="39" t="s">
        <v>1575</v>
      </c>
      <c r="G606" s="39" t="s">
        <v>655</v>
      </c>
      <c r="H606" s="39" t="s">
        <v>727</v>
      </c>
      <c r="I606" s="39" t="s">
        <v>700</v>
      </c>
      <c r="J606" s="39" t="s">
        <v>709</v>
      </c>
      <c r="K606" s="39" t="s">
        <v>694</v>
      </c>
      <c r="L606" s="39" t="s">
        <v>695</v>
      </c>
      <c r="M606" s="39">
        <v>0.6</v>
      </c>
      <c r="N606" s="43"/>
    </row>
    <row r="607" customHeight="1" spans="1:14">
      <c r="A607" s="40">
        <v>247</v>
      </c>
      <c r="B607" s="41" t="s">
        <v>1363</v>
      </c>
      <c r="C607" s="41" t="s">
        <v>691</v>
      </c>
      <c r="D607" s="41" t="s">
        <v>640</v>
      </c>
      <c r="E607" s="41" t="s">
        <v>657</v>
      </c>
      <c r="F607" s="41" t="s">
        <v>1576</v>
      </c>
      <c r="G607" s="41" t="s">
        <v>652</v>
      </c>
      <c r="H607" s="41" t="s">
        <v>683</v>
      </c>
      <c r="I607" s="41" t="s">
        <v>688</v>
      </c>
      <c r="J607" s="41" t="s">
        <v>678</v>
      </c>
      <c r="K607" s="41" t="s">
        <v>732</v>
      </c>
      <c r="L607" s="41" t="s">
        <v>680</v>
      </c>
      <c r="M607" s="41">
        <v>0.9</v>
      </c>
      <c r="N607" s="44"/>
    </row>
    <row r="608" customHeight="1" spans="1:14">
      <c r="A608" s="38">
        <v>248</v>
      </c>
      <c r="B608" s="39" t="s">
        <v>790</v>
      </c>
      <c r="C608" s="39" t="s">
        <v>691</v>
      </c>
      <c r="D608" s="39" t="s">
        <v>645</v>
      </c>
      <c r="E608" s="39" t="s">
        <v>658</v>
      </c>
      <c r="F608" s="39" t="s">
        <v>1577</v>
      </c>
      <c r="G608" s="39" t="s">
        <v>655</v>
      </c>
      <c r="H608" s="39" t="s">
        <v>683</v>
      </c>
      <c r="I608" s="39" t="s">
        <v>688</v>
      </c>
      <c r="J608" s="39" t="s">
        <v>678</v>
      </c>
      <c r="K608" s="39" t="s">
        <v>689</v>
      </c>
      <c r="L608" s="39" t="s">
        <v>719</v>
      </c>
      <c r="M608" s="39">
        <v>0</v>
      </c>
      <c r="N608" s="43"/>
    </row>
    <row r="609" customHeight="1" spans="1:14">
      <c r="A609" s="40">
        <v>249</v>
      </c>
      <c r="B609" s="41" t="s">
        <v>1202</v>
      </c>
      <c r="C609" s="41" t="s">
        <v>691</v>
      </c>
      <c r="D609" s="41" t="s">
        <v>642</v>
      </c>
      <c r="E609" s="41" t="s">
        <v>658</v>
      </c>
      <c r="F609" s="41" t="s">
        <v>1578</v>
      </c>
      <c r="G609" s="41" t="s">
        <v>653</v>
      </c>
      <c r="H609" s="41" t="s">
        <v>687</v>
      </c>
      <c r="I609" s="41" t="s">
        <v>677</v>
      </c>
      <c r="J609" s="41" t="s">
        <v>678</v>
      </c>
      <c r="K609" s="41" t="s">
        <v>689</v>
      </c>
      <c r="L609" s="41" t="s">
        <v>680</v>
      </c>
      <c r="M609" s="41">
        <v>0.9</v>
      </c>
      <c r="N609" s="44"/>
    </row>
    <row r="610" customHeight="1" spans="1:14">
      <c r="A610" s="38">
        <v>250</v>
      </c>
      <c r="B610" s="39" t="s">
        <v>1312</v>
      </c>
      <c r="C610" s="39" t="s">
        <v>674</v>
      </c>
      <c r="D610" s="39" t="s">
        <v>642</v>
      </c>
      <c r="E610" s="39" t="s">
        <v>658</v>
      </c>
      <c r="F610" s="39" t="s">
        <v>1579</v>
      </c>
      <c r="G610" s="39" t="s">
        <v>654</v>
      </c>
      <c r="H610" s="39" t="s">
        <v>722</v>
      </c>
      <c r="I610" s="39" t="s">
        <v>688</v>
      </c>
      <c r="J610" s="39" t="s">
        <v>678</v>
      </c>
      <c r="K610" s="39" t="s">
        <v>694</v>
      </c>
      <c r="L610" s="39" t="s">
        <v>684</v>
      </c>
      <c r="M610" s="39">
        <v>0.85</v>
      </c>
      <c r="N610" s="43"/>
    </row>
    <row r="611" customHeight="1" spans="1:14">
      <c r="A611" s="40">
        <v>251</v>
      </c>
      <c r="B611" s="41" t="s">
        <v>1042</v>
      </c>
      <c r="C611" s="41" t="s">
        <v>691</v>
      </c>
      <c r="D611" s="41" t="s">
        <v>641</v>
      </c>
      <c r="E611" s="41" t="s">
        <v>658</v>
      </c>
      <c r="F611" s="41" t="s">
        <v>1580</v>
      </c>
      <c r="G611" s="41" t="s">
        <v>653</v>
      </c>
      <c r="H611" s="41" t="s">
        <v>683</v>
      </c>
      <c r="I611" s="41" t="s">
        <v>700</v>
      </c>
      <c r="J611" s="41" t="s">
        <v>678</v>
      </c>
      <c r="K611" s="41" t="s">
        <v>701</v>
      </c>
      <c r="L611" s="41" t="s">
        <v>695</v>
      </c>
      <c r="M611" s="41">
        <v>0.6</v>
      </c>
      <c r="N611" s="44"/>
    </row>
    <row r="612" customHeight="1" spans="1:14">
      <c r="A612" s="38">
        <v>252</v>
      </c>
      <c r="B612" s="39" t="s">
        <v>991</v>
      </c>
      <c r="C612" s="39" t="s">
        <v>674</v>
      </c>
      <c r="D612" s="39" t="s">
        <v>647</v>
      </c>
      <c r="E612" s="39" t="s">
        <v>658</v>
      </c>
      <c r="F612" s="39" t="s">
        <v>1581</v>
      </c>
      <c r="G612" s="39" t="s">
        <v>654</v>
      </c>
      <c r="H612" s="39" t="s">
        <v>718</v>
      </c>
      <c r="I612" s="39" t="s">
        <v>677</v>
      </c>
      <c r="J612" s="39" t="s">
        <v>678</v>
      </c>
      <c r="K612" s="39" t="s">
        <v>689</v>
      </c>
      <c r="L612" s="39" t="s">
        <v>695</v>
      </c>
      <c r="M612" s="39">
        <v>0.6</v>
      </c>
      <c r="N612" s="43"/>
    </row>
    <row r="613" customHeight="1" spans="1:14">
      <c r="A613" s="40">
        <v>253</v>
      </c>
      <c r="B613" s="41" t="s">
        <v>1027</v>
      </c>
      <c r="C613" s="41" t="s">
        <v>691</v>
      </c>
      <c r="D613" s="41" t="s">
        <v>638</v>
      </c>
      <c r="E613" s="41" t="s">
        <v>657</v>
      </c>
      <c r="F613" s="41" t="s">
        <v>1582</v>
      </c>
      <c r="G613" s="41" t="s">
        <v>653</v>
      </c>
      <c r="H613" s="41" t="s">
        <v>676</v>
      </c>
      <c r="I613" s="41" t="s">
        <v>693</v>
      </c>
      <c r="J613" s="41" t="s">
        <v>709</v>
      </c>
      <c r="K613" s="41" t="s">
        <v>689</v>
      </c>
      <c r="L613" s="41" t="s">
        <v>684</v>
      </c>
      <c r="M613" s="41">
        <v>0.85</v>
      </c>
      <c r="N613" s="44"/>
    </row>
    <row r="614" customHeight="1" spans="1:14">
      <c r="A614" s="38">
        <v>254</v>
      </c>
      <c r="B614" s="39" t="s">
        <v>753</v>
      </c>
      <c r="C614" s="39" t="s">
        <v>691</v>
      </c>
      <c r="D614" s="39" t="s">
        <v>648</v>
      </c>
      <c r="E614" s="39" t="s">
        <v>658</v>
      </c>
      <c r="F614" s="39" t="s">
        <v>1583</v>
      </c>
      <c r="G614" s="39" t="s">
        <v>656</v>
      </c>
      <c r="H614" s="39" t="s">
        <v>718</v>
      </c>
      <c r="I614" s="39" t="s">
        <v>700</v>
      </c>
      <c r="J614" s="39" t="s">
        <v>678</v>
      </c>
      <c r="K614" s="39" t="s">
        <v>701</v>
      </c>
      <c r="L614" s="39" t="s">
        <v>719</v>
      </c>
      <c r="M614" s="39">
        <v>0</v>
      </c>
      <c r="N614" s="43"/>
    </row>
    <row r="615" customHeight="1" spans="1:14">
      <c r="A615" s="40">
        <v>255</v>
      </c>
      <c r="B615" s="41" t="s">
        <v>1271</v>
      </c>
      <c r="C615" s="41" t="s">
        <v>691</v>
      </c>
      <c r="D615" s="41" t="s">
        <v>641</v>
      </c>
      <c r="E615" s="41" t="s">
        <v>658</v>
      </c>
      <c r="F615" s="41" t="s">
        <v>1584</v>
      </c>
      <c r="G615" s="41" t="s">
        <v>656</v>
      </c>
      <c r="H615" s="41" t="s">
        <v>727</v>
      </c>
      <c r="I615" s="41" t="s">
        <v>693</v>
      </c>
      <c r="J615" s="41" t="s">
        <v>709</v>
      </c>
      <c r="K615" s="41" t="s">
        <v>732</v>
      </c>
      <c r="L615" s="41" t="s">
        <v>715</v>
      </c>
      <c r="M615" s="41">
        <v>0</v>
      </c>
      <c r="N615" s="44"/>
    </row>
    <row r="616" customHeight="1" spans="1:14">
      <c r="A616" s="38">
        <v>256</v>
      </c>
      <c r="B616" s="39" t="s">
        <v>927</v>
      </c>
      <c r="C616" s="39" t="s">
        <v>691</v>
      </c>
      <c r="D616" s="39" t="s">
        <v>641</v>
      </c>
      <c r="E616" s="39" t="s">
        <v>657</v>
      </c>
      <c r="F616" s="39" t="s">
        <v>1585</v>
      </c>
      <c r="G616" s="39" t="s">
        <v>656</v>
      </c>
      <c r="H616" s="39" t="s">
        <v>676</v>
      </c>
      <c r="I616" s="39" t="s">
        <v>677</v>
      </c>
      <c r="J616" s="39" t="s">
        <v>678</v>
      </c>
      <c r="K616" s="39" t="s">
        <v>710</v>
      </c>
      <c r="L616" s="39" t="s">
        <v>684</v>
      </c>
      <c r="M616" s="39">
        <v>0.85</v>
      </c>
      <c r="N616" s="43"/>
    </row>
    <row r="617" customHeight="1" spans="1:14">
      <c r="A617" s="40">
        <v>257</v>
      </c>
      <c r="B617" s="41" t="s">
        <v>1044</v>
      </c>
      <c r="C617" s="41" t="s">
        <v>691</v>
      </c>
      <c r="D617" s="41" t="s">
        <v>639</v>
      </c>
      <c r="E617" s="41" t="s">
        <v>658</v>
      </c>
      <c r="F617" s="41" t="s">
        <v>1586</v>
      </c>
      <c r="G617" s="41" t="s">
        <v>652</v>
      </c>
      <c r="H617" s="41" t="s">
        <v>727</v>
      </c>
      <c r="I617" s="41" t="s">
        <v>688</v>
      </c>
      <c r="J617" s="41" t="s">
        <v>709</v>
      </c>
      <c r="K617" s="41" t="s">
        <v>710</v>
      </c>
      <c r="L617" s="41" t="s">
        <v>695</v>
      </c>
      <c r="M617" s="41">
        <v>0.6</v>
      </c>
      <c r="N617" s="44"/>
    </row>
    <row r="618" customHeight="1" spans="1:14">
      <c r="A618" s="38">
        <v>258</v>
      </c>
      <c r="B618" s="39" t="s">
        <v>1587</v>
      </c>
      <c r="C618" s="39" t="s">
        <v>691</v>
      </c>
      <c r="D618" s="39" t="s">
        <v>646</v>
      </c>
      <c r="E618" s="39" t="s">
        <v>651</v>
      </c>
      <c r="F618" s="39" t="s">
        <v>1588</v>
      </c>
      <c r="G618" s="39" t="s">
        <v>656</v>
      </c>
      <c r="H618" s="39" t="s">
        <v>676</v>
      </c>
      <c r="I618" s="39" t="s">
        <v>708</v>
      </c>
      <c r="J618" s="39" t="s">
        <v>678</v>
      </c>
      <c r="K618" s="39" t="s">
        <v>701</v>
      </c>
      <c r="L618" s="39" t="s">
        <v>695</v>
      </c>
      <c r="M618" s="39">
        <v>0.6</v>
      </c>
      <c r="N618" s="43"/>
    </row>
    <row r="619" customHeight="1" spans="1:14">
      <c r="A619" s="40">
        <v>259</v>
      </c>
      <c r="B619" s="41" t="s">
        <v>958</v>
      </c>
      <c r="C619" s="41" t="s">
        <v>691</v>
      </c>
      <c r="D619" s="41" t="s">
        <v>640</v>
      </c>
      <c r="E619" s="41" t="s">
        <v>658</v>
      </c>
      <c r="F619" s="41" t="s">
        <v>1589</v>
      </c>
      <c r="G619" s="41" t="s">
        <v>656</v>
      </c>
      <c r="H619" s="41" t="s">
        <v>722</v>
      </c>
      <c r="I619" s="41" t="s">
        <v>700</v>
      </c>
      <c r="J619" s="41" t="s">
        <v>709</v>
      </c>
      <c r="K619" s="41" t="s">
        <v>679</v>
      </c>
      <c r="L619" s="41" t="s">
        <v>684</v>
      </c>
      <c r="M619" s="41">
        <v>0.85</v>
      </c>
      <c r="N619" s="44"/>
    </row>
    <row r="620" customHeight="1" spans="1:14">
      <c r="A620" s="38">
        <v>260</v>
      </c>
      <c r="B620" s="39" t="s">
        <v>1590</v>
      </c>
      <c r="C620" s="39" t="s">
        <v>703</v>
      </c>
      <c r="D620" s="39" t="s">
        <v>641</v>
      </c>
      <c r="E620" s="39" t="s">
        <v>658</v>
      </c>
      <c r="F620" s="39" t="s">
        <v>1591</v>
      </c>
      <c r="G620" s="39" t="s">
        <v>652</v>
      </c>
      <c r="H620" s="39" t="s">
        <v>676</v>
      </c>
      <c r="I620" s="39" t="s">
        <v>700</v>
      </c>
      <c r="J620" s="39" t="s">
        <v>678</v>
      </c>
      <c r="K620" s="39" t="s">
        <v>689</v>
      </c>
      <c r="L620" s="39" t="s">
        <v>684</v>
      </c>
      <c r="M620" s="39">
        <v>0.85</v>
      </c>
      <c r="N620" s="43"/>
    </row>
    <row r="621" customHeight="1" spans="1:14">
      <c r="A621" s="40">
        <v>261</v>
      </c>
      <c r="B621" s="41" t="s">
        <v>1174</v>
      </c>
      <c r="C621" s="41" t="s">
        <v>691</v>
      </c>
      <c r="D621" s="41" t="s">
        <v>639</v>
      </c>
      <c r="E621" s="41" t="s">
        <v>658</v>
      </c>
      <c r="F621" s="41" t="s">
        <v>1592</v>
      </c>
      <c r="G621" s="41" t="s">
        <v>653</v>
      </c>
      <c r="H621" s="41" t="s">
        <v>687</v>
      </c>
      <c r="I621" s="41" t="s">
        <v>708</v>
      </c>
      <c r="J621" s="41" t="s">
        <v>678</v>
      </c>
      <c r="K621" s="41" t="s">
        <v>694</v>
      </c>
      <c r="L621" s="41" t="s">
        <v>719</v>
      </c>
      <c r="M621" s="41">
        <v>0</v>
      </c>
      <c r="N621" s="44"/>
    </row>
    <row r="622" customHeight="1" spans="1:14">
      <c r="A622" s="38">
        <v>262</v>
      </c>
      <c r="B622" s="39" t="s">
        <v>830</v>
      </c>
      <c r="C622" s="39" t="s">
        <v>691</v>
      </c>
      <c r="D622" s="39" t="s">
        <v>646</v>
      </c>
      <c r="E622" s="39" t="s">
        <v>657</v>
      </c>
      <c r="F622" s="39" t="s">
        <v>1593</v>
      </c>
      <c r="G622" s="39" t="s">
        <v>654</v>
      </c>
      <c r="H622" s="39" t="s">
        <v>676</v>
      </c>
      <c r="I622" s="39" t="s">
        <v>688</v>
      </c>
      <c r="J622" s="39" t="s">
        <v>678</v>
      </c>
      <c r="K622" s="39" t="s">
        <v>710</v>
      </c>
      <c r="L622" s="39" t="s">
        <v>680</v>
      </c>
      <c r="M622" s="39">
        <v>0.9</v>
      </c>
      <c r="N622" s="43"/>
    </row>
    <row r="623" customHeight="1" spans="1:14">
      <c r="A623" s="40">
        <v>263</v>
      </c>
      <c r="B623" s="41" t="s">
        <v>762</v>
      </c>
      <c r="C623" s="41" t="s">
        <v>691</v>
      </c>
      <c r="D623" s="41" t="s">
        <v>646</v>
      </c>
      <c r="E623" s="41" t="s">
        <v>651</v>
      </c>
      <c r="F623" s="41" t="s">
        <v>1594</v>
      </c>
      <c r="G623" s="41" t="s">
        <v>656</v>
      </c>
      <c r="H623" s="41" t="s">
        <v>718</v>
      </c>
      <c r="I623" s="41" t="s">
        <v>677</v>
      </c>
      <c r="J623" s="41" t="s">
        <v>678</v>
      </c>
      <c r="K623" s="41" t="s">
        <v>732</v>
      </c>
      <c r="L623" s="41" t="s">
        <v>695</v>
      </c>
      <c r="M623" s="41">
        <v>0.6</v>
      </c>
      <c r="N623" s="44"/>
    </row>
    <row r="624" customHeight="1" spans="1:14">
      <c r="A624" s="38">
        <v>264</v>
      </c>
      <c r="B624" s="39" t="s">
        <v>814</v>
      </c>
      <c r="C624" s="39" t="s">
        <v>691</v>
      </c>
      <c r="D624" s="39" t="s">
        <v>646</v>
      </c>
      <c r="E624" s="39" t="s">
        <v>658</v>
      </c>
      <c r="F624" s="39" t="s">
        <v>1595</v>
      </c>
      <c r="G624" s="39" t="s">
        <v>653</v>
      </c>
      <c r="H624" s="39" t="s">
        <v>683</v>
      </c>
      <c r="I624" s="39" t="s">
        <v>688</v>
      </c>
      <c r="J624" s="39" t="s">
        <v>678</v>
      </c>
      <c r="K624" s="39" t="s">
        <v>694</v>
      </c>
      <c r="L624" s="39" t="s">
        <v>695</v>
      </c>
      <c r="M624" s="39">
        <v>0.6</v>
      </c>
      <c r="N624" s="43"/>
    </row>
    <row r="625" customHeight="1" spans="1:14">
      <c r="A625" s="40">
        <v>265</v>
      </c>
      <c r="B625" s="41" t="s">
        <v>1596</v>
      </c>
      <c r="C625" s="41" t="s">
        <v>691</v>
      </c>
      <c r="D625" s="41" t="s">
        <v>644</v>
      </c>
      <c r="E625" s="41" t="s">
        <v>657</v>
      </c>
      <c r="F625" s="41" t="s">
        <v>1597</v>
      </c>
      <c r="G625" s="41" t="s">
        <v>656</v>
      </c>
      <c r="H625" s="41" t="s">
        <v>683</v>
      </c>
      <c r="I625" s="41" t="s">
        <v>677</v>
      </c>
      <c r="J625" s="41" t="s">
        <v>709</v>
      </c>
      <c r="K625" s="41" t="s">
        <v>701</v>
      </c>
      <c r="L625" s="41" t="s">
        <v>743</v>
      </c>
      <c r="M625" s="41">
        <v>0</v>
      </c>
      <c r="N625" s="44"/>
    </row>
    <row r="626" customHeight="1" spans="1:14">
      <c r="A626" s="38">
        <v>266</v>
      </c>
      <c r="B626" s="39" t="s">
        <v>1051</v>
      </c>
      <c r="C626" s="39" t="s">
        <v>691</v>
      </c>
      <c r="D626" s="39" t="s">
        <v>645</v>
      </c>
      <c r="E626" s="39" t="s">
        <v>657</v>
      </c>
      <c r="F626" s="39" t="s">
        <v>1598</v>
      </c>
      <c r="G626" s="39" t="s">
        <v>656</v>
      </c>
      <c r="H626" s="39" t="s">
        <v>718</v>
      </c>
      <c r="I626" s="39" t="s">
        <v>700</v>
      </c>
      <c r="J626" s="39" t="s">
        <v>709</v>
      </c>
      <c r="K626" s="39" t="s">
        <v>679</v>
      </c>
      <c r="L626" s="39" t="s">
        <v>743</v>
      </c>
      <c r="M626" s="39">
        <v>0</v>
      </c>
      <c r="N626" s="43"/>
    </row>
    <row r="627" customHeight="1" spans="1:14">
      <c r="A627" s="40">
        <v>267</v>
      </c>
      <c r="B627" s="41" t="s">
        <v>1599</v>
      </c>
      <c r="C627" s="41" t="s">
        <v>691</v>
      </c>
      <c r="D627" s="41" t="s">
        <v>644</v>
      </c>
      <c r="E627" s="41" t="s">
        <v>657</v>
      </c>
      <c r="F627" s="41" t="s">
        <v>1600</v>
      </c>
      <c r="G627" s="41" t="s">
        <v>655</v>
      </c>
      <c r="H627" s="41" t="s">
        <v>722</v>
      </c>
      <c r="I627" s="41" t="s">
        <v>693</v>
      </c>
      <c r="J627" s="41" t="s">
        <v>709</v>
      </c>
      <c r="K627" s="41" t="s">
        <v>710</v>
      </c>
      <c r="L627" s="41" t="s">
        <v>743</v>
      </c>
      <c r="M627" s="41">
        <v>0</v>
      </c>
      <c r="N627" s="44"/>
    </row>
    <row r="628" customHeight="1" spans="1:14">
      <c r="A628" s="38">
        <v>268</v>
      </c>
      <c r="B628" s="39" t="s">
        <v>1229</v>
      </c>
      <c r="C628" s="39" t="s">
        <v>691</v>
      </c>
      <c r="D628" s="39" t="s">
        <v>647</v>
      </c>
      <c r="E628" s="39" t="s">
        <v>658</v>
      </c>
      <c r="F628" s="39" t="s">
        <v>1601</v>
      </c>
      <c r="G628" s="39" t="s">
        <v>652</v>
      </c>
      <c r="H628" s="39" t="s">
        <v>707</v>
      </c>
      <c r="I628" s="39" t="s">
        <v>708</v>
      </c>
      <c r="J628" s="39" t="s">
        <v>709</v>
      </c>
      <c r="K628" s="39" t="s">
        <v>732</v>
      </c>
      <c r="L628" s="39" t="s">
        <v>743</v>
      </c>
      <c r="M628" s="39">
        <v>0</v>
      </c>
      <c r="N628" s="43"/>
    </row>
    <row r="629" customHeight="1" spans="1:14">
      <c r="A629" s="40">
        <v>269</v>
      </c>
      <c r="B629" s="41" t="s">
        <v>1150</v>
      </c>
      <c r="C629" s="41" t="s">
        <v>691</v>
      </c>
      <c r="D629" s="41" t="s">
        <v>648</v>
      </c>
      <c r="E629" s="41" t="s">
        <v>658</v>
      </c>
      <c r="F629" s="41" t="s">
        <v>1602</v>
      </c>
      <c r="G629" s="41" t="s">
        <v>652</v>
      </c>
      <c r="H629" s="41" t="s">
        <v>718</v>
      </c>
      <c r="I629" s="41" t="s">
        <v>693</v>
      </c>
      <c r="J629" s="41" t="s">
        <v>678</v>
      </c>
      <c r="K629" s="41" t="s">
        <v>679</v>
      </c>
      <c r="L629" s="41" t="s">
        <v>680</v>
      </c>
      <c r="M629" s="41">
        <v>0.9</v>
      </c>
      <c r="N629" s="44"/>
    </row>
    <row r="630" customHeight="1" spans="1:14">
      <c r="A630" s="38">
        <v>270</v>
      </c>
      <c r="B630" s="39" t="s">
        <v>1603</v>
      </c>
      <c r="C630" s="39" t="s">
        <v>674</v>
      </c>
      <c r="D630" s="39" t="s">
        <v>641</v>
      </c>
      <c r="E630" s="39" t="s">
        <v>657</v>
      </c>
      <c r="F630" s="39" t="s">
        <v>1604</v>
      </c>
      <c r="G630" s="39" t="s">
        <v>656</v>
      </c>
      <c r="H630" s="39" t="s">
        <v>687</v>
      </c>
      <c r="I630" s="39" t="s">
        <v>700</v>
      </c>
      <c r="J630" s="39" t="s">
        <v>678</v>
      </c>
      <c r="K630" s="39" t="s">
        <v>710</v>
      </c>
      <c r="L630" s="39" t="s">
        <v>695</v>
      </c>
      <c r="M630" s="39">
        <v>0.6</v>
      </c>
      <c r="N630" s="43"/>
    </row>
    <row r="631" customHeight="1" spans="1:14">
      <c r="A631" s="40">
        <v>271</v>
      </c>
      <c r="B631" s="41" t="s">
        <v>760</v>
      </c>
      <c r="C631" s="41" t="s">
        <v>674</v>
      </c>
      <c r="D631" s="41" t="s">
        <v>638</v>
      </c>
      <c r="E631" s="41" t="s">
        <v>657</v>
      </c>
      <c r="F631" s="41" t="s">
        <v>1605</v>
      </c>
      <c r="G631" s="41" t="s">
        <v>652</v>
      </c>
      <c r="H631" s="41" t="s">
        <v>727</v>
      </c>
      <c r="I631" s="41" t="s">
        <v>688</v>
      </c>
      <c r="J631" s="41" t="s">
        <v>709</v>
      </c>
      <c r="K631" s="41" t="s">
        <v>694</v>
      </c>
      <c r="L631" s="41" t="s">
        <v>680</v>
      </c>
      <c r="M631" s="41">
        <v>0.9</v>
      </c>
      <c r="N631" s="44"/>
    </row>
    <row r="632" customHeight="1" spans="1:14">
      <c r="A632" s="38">
        <v>272</v>
      </c>
      <c r="B632" s="39" t="s">
        <v>1606</v>
      </c>
      <c r="C632" s="39" t="s">
        <v>674</v>
      </c>
      <c r="D632" s="39" t="s">
        <v>638</v>
      </c>
      <c r="E632" s="39" t="s">
        <v>651</v>
      </c>
      <c r="F632" s="39" t="s">
        <v>1607</v>
      </c>
      <c r="G632" s="39" t="s">
        <v>655</v>
      </c>
      <c r="H632" s="39" t="s">
        <v>707</v>
      </c>
      <c r="I632" s="39" t="s">
        <v>700</v>
      </c>
      <c r="J632" s="39" t="s">
        <v>709</v>
      </c>
      <c r="K632" s="39" t="s">
        <v>701</v>
      </c>
      <c r="L632" s="39" t="s">
        <v>743</v>
      </c>
      <c r="M632" s="39">
        <v>0</v>
      </c>
      <c r="N632" s="43"/>
    </row>
    <row r="633" customHeight="1" spans="1:14">
      <c r="A633" s="40">
        <v>273</v>
      </c>
      <c r="B633" s="41" t="s">
        <v>836</v>
      </c>
      <c r="C633" s="41" t="s">
        <v>691</v>
      </c>
      <c r="D633" s="41" t="s">
        <v>647</v>
      </c>
      <c r="E633" s="41" t="s">
        <v>657</v>
      </c>
      <c r="F633" s="41" t="s">
        <v>1608</v>
      </c>
      <c r="G633" s="41" t="s">
        <v>653</v>
      </c>
      <c r="H633" s="41" t="s">
        <v>727</v>
      </c>
      <c r="I633" s="41" t="s">
        <v>677</v>
      </c>
      <c r="J633" s="41" t="s">
        <v>709</v>
      </c>
      <c r="K633" s="41" t="s">
        <v>679</v>
      </c>
      <c r="L633" s="41" t="s">
        <v>743</v>
      </c>
      <c r="M633" s="41">
        <v>0</v>
      </c>
      <c r="N633" s="44"/>
    </row>
    <row r="634" customHeight="1" spans="1:14">
      <c r="A634" s="38">
        <v>274</v>
      </c>
      <c r="B634" s="39" t="s">
        <v>851</v>
      </c>
      <c r="C634" s="39" t="s">
        <v>691</v>
      </c>
      <c r="D634" s="39" t="s">
        <v>642</v>
      </c>
      <c r="E634" s="39" t="s">
        <v>658</v>
      </c>
      <c r="F634" s="39" t="s">
        <v>1609</v>
      </c>
      <c r="G634" s="39" t="s">
        <v>656</v>
      </c>
      <c r="H634" s="39" t="s">
        <v>676</v>
      </c>
      <c r="I634" s="39" t="s">
        <v>688</v>
      </c>
      <c r="J634" s="39" t="s">
        <v>678</v>
      </c>
      <c r="K634" s="39" t="s">
        <v>732</v>
      </c>
      <c r="L634" s="39" t="s">
        <v>684</v>
      </c>
      <c r="M634" s="39">
        <v>0.85</v>
      </c>
      <c r="N634" s="43"/>
    </row>
    <row r="635" customHeight="1" spans="1:14">
      <c r="A635" s="40">
        <v>275</v>
      </c>
      <c r="B635" s="41" t="s">
        <v>1610</v>
      </c>
      <c r="C635" s="41" t="s">
        <v>691</v>
      </c>
      <c r="D635" s="41" t="s">
        <v>638</v>
      </c>
      <c r="E635" s="41" t="s">
        <v>651</v>
      </c>
      <c r="F635" s="41" t="s">
        <v>1611</v>
      </c>
      <c r="G635" s="41" t="s">
        <v>654</v>
      </c>
      <c r="H635" s="41" t="s">
        <v>718</v>
      </c>
      <c r="I635" s="41" t="s">
        <v>693</v>
      </c>
      <c r="J635" s="41" t="s">
        <v>678</v>
      </c>
      <c r="K635" s="41" t="s">
        <v>694</v>
      </c>
      <c r="L635" s="41" t="s">
        <v>719</v>
      </c>
      <c r="M635" s="41">
        <v>0</v>
      </c>
      <c r="N635" s="44"/>
    </row>
    <row r="636" customHeight="1" spans="1:14">
      <c r="A636" s="38">
        <v>276</v>
      </c>
      <c r="B636" s="39" t="s">
        <v>1452</v>
      </c>
      <c r="C636" s="39" t="s">
        <v>691</v>
      </c>
      <c r="D636" s="39" t="s">
        <v>647</v>
      </c>
      <c r="E636" s="39" t="s">
        <v>658</v>
      </c>
      <c r="F636" s="39" t="s">
        <v>1612</v>
      </c>
      <c r="G636" s="39" t="s">
        <v>655</v>
      </c>
      <c r="H636" s="39" t="s">
        <v>727</v>
      </c>
      <c r="I636" s="39" t="s">
        <v>677</v>
      </c>
      <c r="J636" s="39" t="s">
        <v>678</v>
      </c>
      <c r="K636" s="39" t="s">
        <v>679</v>
      </c>
      <c r="L636" s="39" t="s">
        <v>715</v>
      </c>
      <c r="M636" s="39">
        <v>0</v>
      </c>
      <c r="N636" s="43"/>
    </row>
    <row r="637" customHeight="1" spans="1:14">
      <c r="A637" s="40">
        <v>277</v>
      </c>
      <c r="B637" s="41" t="s">
        <v>1007</v>
      </c>
      <c r="C637" s="41" t="s">
        <v>674</v>
      </c>
      <c r="D637" s="41" t="s">
        <v>649</v>
      </c>
      <c r="E637" s="41" t="s">
        <v>658</v>
      </c>
      <c r="F637" s="41" t="s">
        <v>1613</v>
      </c>
      <c r="G637" s="41" t="s">
        <v>655</v>
      </c>
      <c r="H637" s="41" t="s">
        <v>676</v>
      </c>
      <c r="I637" s="41" t="s">
        <v>677</v>
      </c>
      <c r="J637" s="41" t="s">
        <v>678</v>
      </c>
      <c r="K637" s="41" t="s">
        <v>689</v>
      </c>
      <c r="L637" s="41" t="s">
        <v>743</v>
      </c>
      <c r="M637" s="41">
        <v>0</v>
      </c>
      <c r="N637" s="44"/>
    </row>
    <row r="638" customHeight="1" spans="1:14">
      <c r="A638" s="38">
        <v>278</v>
      </c>
      <c r="B638" s="39" t="s">
        <v>764</v>
      </c>
      <c r="C638" s="39" t="s">
        <v>674</v>
      </c>
      <c r="D638" s="39" t="s">
        <v>647</v>
      </c>
      <c r="E638" s="39" t="s">
        <v>651</v>
      </c>
      <c r="F638" s="39" t="s">
        <v>1614</v>
      </c>
      <c r="G638" s="39" t="s">
        <v>653</v>
      </c>
      <c r="H638" s="39" t="s">
        <v>707</v>
      </c>
      <c r="I638" s="39" t="s">
        <v>688</v>
      </c>
      <c r="J638" s="39" t="s">
        <v>709</v>
      </c>
      <c r="K638" s="39" t="s">
        <v>710</v>
      </c>
      <c r="L638" s="39" t="s">
        <v>684</v>
      </c>
      <c r="M638" s="39">
        <v>0.85</v>
      </c>
      <c r="N638" s="43"/>
    </row>
    <row r="639" customHeight="1" spans="1:14">
      <c r="A639" s="40">
        <v>279</v>
      </c>
      <c r="B639" s="41" t="s">
        <v>1382</v>
      </c>
      <c r="C639" s="41" t="s">
        <v>691</v>
      </c>
      <c r="D639" s="41" t="s">
        <v>641</v>
      </c>
      <c r="E639" s="41" t="s">
        <v>657</v>
      </c>
      <c r="F639" s="41" t="s">
        <v>1615</v>
      </c>
      <c r="G639" s="41" t="s">
        <v>654</v>
      </c>
      <c r="H639" s="41" t="s">
        <v>707</v>
      </c>
      <c r="I639" s="41" t="s">
        <v>700</v>
      </c>
      <c r="J639" s="41" t="s">
        <v>678</v>
      </c>
      <c r="K639" s="41" t="s">
        <v>679</v>
      </c>
      <c r="L639" s="41" t="s">
        <v>695</v>
      </c>
      <c r="M639" s="41">
        <v>0.6</v>
      </c>
      <c r="N639" s="44"/>
    </row>
    <row r="640" customHeight="1" spans="1:14">
      <c r="A640" s="38">
        <v>280</v>
      </c>
      <c r="B640" s="39" t="s">
        <v>702</v>
      </c>
      <c r="C640" s="39" t="s">
        <v>703</v>
      </c>
      <c r="D640" s="39" t="s">
        <v>647</v>
      </c>
      <c r="E640" s="39" t="s">
        <v>658</v>
      </c>
      <c r="F640" s="39" t="s">
        <v>1616</v>
      </c>
      <c r="G640" s="39" t="s">
        <v>654</v>
      </c>
      <c r="H640" s="39" t="s">
        <v>683</v>
      </c>
      <c r="I640" s="39" t="s">
        <v>708</v>
      </c>
      <c r="J640" s="39" t="s">
        <v>678</v>
      </c>
      <c r="K640" s="39" t="s">
        <v>732</v>
      </c>
      <c r="L640" s="39" t="s">
        <v>684</v>
      </c>
      <c r="M640" s="39">
        <v>0.85</v>
      </c>
      <c r="N640" s="43"/>
    </row>
    <row r="641" customHeight="1" spans="1:14">
      <c r="A641" s="40">
        <v>281</v>
      </c>
      <c r="B641" s="41" t="s">
        <v>1115</v>
      </c>
      <c r="C641" s="41" t="s">
        <v>691</v>
      </c>
      <c r="D641" s="41" t="s">
        <v>644</v>
      </c>
      <c r="E641" s="41" t="s">
        <v>657</v>
      </c>
      <c r="F641" s="41" t="s">
        <v>1617</v>
      </c>
      <c r="G641" s="41" t="s">
        <v>652</v>
      </c>
      <c r="H641" s="41" t="s">
        <v>722</v>
      </c>
      <c r="I641" s="41" t="s">
        <v>677</v>
      </c>
      <c r="J641" s="41" t="s">
        <v>678</v>
      </c>
      <c r="K641" s="41" t="s">
        <v>689</v>
      </c>
      <c r="L641" s="41" t="s">
        <v>715</v>
      </c>
      <c r="M641" s="41">
        <v>0</v>
      </c>
      <c r="N641" s="44"/>
    </row>
    <row r="642" customHeight="1" spans="1:14">
      <c r="A642" s="38">
        <v>282</v>
      </c>
      <c r="B642" s="39" t="s">
        <v>1055</v>
      </c>
      <c r="C642" s="39" t="s">
        <v>691</v>
      </c>
      <c r="D642" s="39" t="s">
        <v>644</v>
      </c>
      <c r="E642" s="39" t="s">
        <v>658</v>
      </c>
      <c r="F642" s="39" t="s">
        <v>1618</v>
      </c>
      <c r="G642" s="39" t="s">
        <v>652</v>
      </c>
      <c r="H642" s="39" t="s">
        <v>683</v>
      </c>
      <c r="I642" s="39" t="s">
        <v>688</v>
      </c>
      <c r="J642" s="39" t="s">
        <v>709</v>
      </c>
      <c r="K642" s="39" t="s">
        <v>689</v>
      </c>
      <c r="L642" s="39" t="s">
        <v>684</v>
      </c>
      <c r="M642" s="39">
        <v>0.85</v>
      </c>
      <c r="N642" s="43"/>
    </row>
    <row r="643" customHeight="1" spans="1:14">
      <c r="A643" s="40">
        <v>283</v>
      </c>
      <c r="B643" s="41" t="s">
        <v>1486</v>
      </c>
      <c r="C643" s="41" t="s">
        <v>691</v>
      </c>
      <c r="D643" s="41" t="s">
        <v>642</v>
      </c>
      <c r="E643" s="41" t="s">
        <v>657</v>
      </c>
      <c r="F643" s="41" t="s">
        <v>1619</v>
      </c>
      <c r="G643" s="41" t="s">
        <v>655</v>
      </c>
      <c r="H643" s="41" t="s">
        <v>707</v>
      </c>
      <c r="I643" s="41" t="s">
        <v>708</v>
      </c>
      <c r="J643" s="41" t="s">
        <v>678</v>
      </c>
      <c r="K643" s="41" t="s">
        <v>701</v>
      </c>
      <c r="L643" s="41" t="s">
        <v>684</v>
      </c>
      <c r="M643" s="41">
        <v>0.85</v>
      </c>
      <c r="N643" s="44"/>
    </row>
    <row r="644" customHeight="1" spans="1:14">
      <c r="A644" s="38">
        <v>284</v>
      </c>
      <c r="B644" s="39" t="s">
        <v>948</v>
      </c>
      <c r="C644" s="39" t="s">
        <v>691</v>
      </c>
      <c r="D644" s="39" t="s">
        <v>649</v>
      </c>
      <c r="E644" s="39" t="s">
        <v>657</v>
      </c>
      <c r="F644" s="39" t="s">
        <v>1620</v>
      </c>
      <c r="G644" s="39" t="s">
        <v>655</v>
      </c>
      <c r="H644" s="39" t="s">
        <v>722</v>
      </c>
      <c r="I644" s="39" t="s">
        <v>693</v>
      </c>
      <c r="J644" s="39" t="s">
        <v>709</v>
      </c>
      <c r="K644" s="39" t="s">
        <v>679</v>
      </c>
      <c r="L644" s="39" t="s">
        <v>680</v>
      </c>
      <c r="M644" s="39">
        <v>0.9</v>
      </c>
      <c r="N644" s="43"/>
    </row>
    <row r="645" customHeight="1" spans="1:14">
      <c r="A645" s="40">
        <v>285</v>
      </c>
      <c r="B645" s="41" t="s">
        <v>1078</v>
      </c>
      <c r="C645" s="41" t="s">
        <v>674</v>
      </c>
      <c r="D645" s="41" t="s">
        <v>639</v>
      </c>
      <c r="E645" s="41" t="s">
        <v>658</v>
      </c>
      <c r="F645" s="41" t="s">
        <v>1621</v>
      </c>
      <c r="G645" s="41" t="s">
        <v>655</v>
      </c>
      <c r="H645" s="41" t="s">
        <v>676</v>
      </c>
      <c r="I645" s="41" t="s">
        <v>708</v>
      </c>
      <c r="J645" s="41" t="s">
        <v>709</v>
      </c>
      <c r="K645" s="41" t="s">
        <v>732</v>
      </c>
      <c r="L645" s="41" t="s">
        <v>719</v>
      </c>
      <c r="M645" s="41">
        <v>0</v>
      </c>
      <c r="N645" s="44"/>
    </row>
    <row r="646" customHeight="1" spans="1:14">
      <c r="A646" s="38">
        <v>286</v>
      </c>
      <c r="B646" s="39" t="s">
        <v>1306</v>
      </c>
      <c r="C646" s="39" t="s">
        <v>691</v>
      </c>
      <c r="D646" s="39" t="s">
        <v>641</v>
      </c>
      <c r="E646" s="39" t="s">
        <v>657</v>
      </c>
      <c r="F646" s="39" t="s">
        <v>1622</v>
      </c>
      <c r="G646" s="39" t="s">
        <v>654</v>
      </c>
      <c r="H646" s="39" t="s">
        <v>718</v>
      </c>
      <c r="I646" s="39" t="s">
        <v>700</v>
      </c>
      <c r="J646" s="39" t="s">
        <v>678</v>
      </c>
      <c r="K646" s="39" t="s">
        <v>732</v>
      </c>
      <c r="L646" s="39" t="s">
        <v>695</v>
      </c>
      <c r="M646" s="39">
        <v>0.6</v>
      </c>
      <c r="N646" s="43"/>
    </row>
    <row r="647" customHeight="1" spans="1:14">
      <c r="A647" s="40">
        <v>287</v>
      </c>
      <c r="B647" s="41" t="s">
        <v>1145</v>
      </c>
      <c r="C647" s="41" t="s">
        <v>691</v>
      </c>
      <c r="D647" s="41" t="s">
        <v>639</v>
      </c>
      <c r="E647" s="41" t="s">
        <v>657</v>
      </c>
      <c r="F647" s="41" t="s">
        <v>1623</v>
      </c>
      <c r="G647" s="41" t="s">
        <v>655</v>
      </c>
      <c r="H647" s="41" t="s">
        <v>683</v>
      </c>
      <c r="I647" s="41" t="s">
        <v>708</v>
      </c>
      <c r="J647" s="41" t="s">
        <v>678</v>
      </c>
      <c r="K647" s="41" t="s">
        <v>701</v>
      </c>
      <c r="L647" s="41" t="s">
        <v>743</v>
      </c>
      <c r="M647" s="41">
        <v>0</v>
      </c>
      <c r="N647" s="44"/>
    </row>
    <row r="648" customHeight="1" spans="1:14">
      <c r="A648" s="38">
        <v>288</v>
      </c>
      <c r="B648" s="39" t="s">
        <v>1300</v>
      </c>
      <c r="C648" s="39" t="s">
        <v>674</v>
      </c>
      <c r="D648" s="39" t="s">
        <v>647</v>
      </c>
      <c r="E648" s="39" t="s">
        <v>657</v>
      </c>
      <c r="F648" s="39" t="s">
        <v>1624</v>
      </c>
      <c r="G648" s="39" t="s">
        <v>654</v>
      </c>
      <c r="H648" s="39" t="s">
        <v>727</v>
      </c>
      <c r="I648" s="39" t="s">
        <v>688</v>
      </c>
      <c r="J648" s="39" t="s">
        <v>678</v>
      </c>
      <c r="K648" s="39" t="s">
        <v>701</v>
      </c>
      <c r="L648" s="39" t="s">
        <v>719</v>
      </c>
      <c r="M648" s="39">
        <v>0</v>
      </c>
      <c r="N648" s="43"/>
    </row>
    <row r="649" customHeight="1" spans="1:14">
      <c r="A649" s="40">
        <v>289</v>
      </c>
      <c r="B649" s="41" t="s">
        <v>1625</v>
      </c>
      <c r="C649" s="41" t="s">
        <v>674</v>
      </c>
      <c r="D649" s="41" t="s">
        <v>647</v>
      </c>
      <c r="E649" s="41" t="s">
        <v>657</v>
      </c>
      <c r="F649" s="41" t="s">
        <v>1626</v>
      </c>
      <c r="G649" s="41" t="s">
        <v>652</v>
      </c>
      <c r="H649" s="41" t="s">
        <v>676</v>
      </c>
      <c r="I649" s="41" t="s">
        <v>688</v>
      </c>
      <c r="J649" s="41" t="s">
        <v>678</v>
      </c>
      <c r="K649" s="41" t="s">
        <v>701</v>
      </c>
      <c r="L649" s="41" t="s">
        <v>743</v>
      </c>
      <c r="M649" s="41">
        <v>0</v>
      </c>
      <c r="N649" s="44"/>
    </row>
    <row r="650" customHeight="1" spans="1:14">
      <c r="A650" s="38">
        <v>290</v>
      </c>
      <c r="B650" s="39" t="s">
        <v>1536</v>
      </c>
      <c r="C650" s="39" t="s">
        <v>691</v>
      </c>
      <c r="D650" s="39" t="s">
        <v>647</v>
      </c>
      <c r="E650" s="39" t="s">
        <v>657</v>
      </c>
      <c r="F650" s="39" t="s">
        <v>1627</v>
      </c>
      <c r="G650" s="39" t="s">
        <v>654</v>
      </c>
      <c r="H650" s="39" t="s">
        <v>687</v>
      </c>
      <c r="I650" s="39" t="s">
        <v>693</v>
      </c>
      <c r="J650" s="39" t="s">
        <v>678</v>
      </c>
      <c r="K650" s="39" t="s">
        <v>701</v>
      </c>
      <c r="L650" s="39" t="s">
        <v>695</v>
      </c>
      <c r="M650" s="39">
        <v>0.6</v>
      </c>
      <c r="N650" s="43"/>
    </row>
    <row r="651" customHeight="1" spans="1:14">
      <c r="A651" s="40">
        <v>291</v>
      </c>
      <c r="B651" s="41" t="s">
        <v>851</v>
      </c>
      <c r="C651" s="41" t="s">
        <v>691</v>
      </c>
      <c r="D651" s="41" t="s">
        <v>642</v>
      </c>
      <c r="E651" s="41" t="s">
        <v>658</v>
      </c>
      <c r="F651" s="41" t="s">
        <v>1628</v>
      </c>
      <c r="G651" s="41" t="s">
        <v>652</v>
      </c>
      <c r="H651" s="41" t="s">
        <v>722</v>
      </c>
      <c r="I651" s="41" t="s">
        <v>708</v>
      </c>
      <c r="J651" s="41" t="s">
        <v>678</v>
      </c>
      <c r="K651" s="41" t="s">
        <v>689</v>
      </c>
      <c r="L651" s="41" t="s">
        <v>695</v>
      </c>
      <c r="M651" s="41">
        <v>0.6</v>
      </c>
      <c r="N651" s="44"/>
    </row>
    <row r="652" customHeight="1" spans="1:14">
      <c r="A652" s="38">
        <v>292</v>
      </c>
      <c r="B652" s="39" t="s">
        <v>1118</v>
      </c>
      <c r="C652" s="39" t="s">
        <v>691</v>
      </c>
      <c r="D652" s="39" t="s">
        <v>640</v>
      </c>
      <c r="E652" s="39" t="s">
        <v>658</v>
      </c>
      <c r="F652" s="39" t="s">
        <v>1629</v>
      </c>
      <c r="G652" s="39" t="s">
        <v>652</v>
      </c>
      <c r="H652" s="39" t="s">
        <v>722</v>
      </c>
      <c r="I652" s="39" t="s">
        <v>708</v>
      </c>
      <c r="J652" s="39" t="s">
        <v>678</v>
      </c>
      <c r="K652" s="39" t="s">
        <v>710</v>
      </c>
      <c r="L652" s="39" t="s">
        <v>684</v>
      </c>
      <c r="M652" s="39">
        <v>0.85</v>
      </c>
      <c r="N652" s="43"/>
    </row>
    <row r="653" customHeight="1" spans="1:14">
      <c r="A653" s="40">
        <v>293</v>
      </c>
      <c r="B653" s="41" t="s">
        <v>1208</v>
      </c>
      <c r="C653" s="41" t="s">
        <v>691</v>
      </c>
      <c r="D653" s="41" t="s">
        <v>644</v>
      </c>
      <c r="E653" s="41" t="s">
        <v>657</v>
      </c>
      <c r="F653" s="41" t="s">
        <v>1630</v>
      </c>
      <c r="G653" s="41" t="s">
        <v>655</v>
      </c>
      <c r="H653" s="41" t="s">
        <v>676</v>
      </c>
      <c r="I653" s="41" t="s">
        <v>693</v>
      </c>
      <c r="J653" s="41" t="s">
        <v>678</v>
      </c>
      <c r="K653" s="41" t="s">
        <v>694</v>
      </c>
      <c r="L653" s="41" t="s">
        <v>684</v>
      </c>
      <c r="M653" s="41">
        <v>0.85</v>
      </c>
      <c r="N653" s="44"/>
    </row>
    <row r="654" customHeight="1" spans="1:14">
      <c r="A654" s="38">
        <v>294</v>
      </c>
      <c r="B654" s="39" t="s">
        <v>988</v>
      </c>
      <c r="C654" s="39" t="s">
        <v>691</v>
      </c>
      <c r="D654" s="39" t="s">
        <v>640</v>
      </c>
      <c r="E654" s="39" t="s">
        <v>658</v>
      </c>
      <c r="F654" s="39" t="s">
        <v>1631</v>
      </c>
      <c r="G654" s="39" t="s">
        <v>655</v>
      </c>
      <c r="H654" s="39" t="s">
        <v>722</v>
      </c>
      <c r="I654" s="39" t="s">
        <v>693</v>
      </c>
      <c r="J654" s="39" t="s">
        <v>678</v>
      </c>
      <c r="K654" s="39" t="s">
        <v>732</v>
      </c>
      <c r="L654" s="39" t="s">
        <v>680</v>
      </c>
      <c r="M654" s="39">
        <v>0.9</v>
      </c>
      <c r="N654" s="43"/>
    </row>
    <row r="655" customHeight="1" spans="1:14">
      <c r="A655" s="40">
        <v>295</v>
      </c>
      <c r="B655" s="41" t="s">
        <v>980</v>
      </c>
      <c r="C655" s="41" t="s">
        <v>674</v>
      </c>
      <c r="D655" s="41" t="s">
        <v>640</v>
      </c>
      <c r="E655" s="41" t="s">
        <v>658</v>
      </c>
      <c r="F655" s="41" t="s">
        <v>1632</v>
      </c>
      <c r="G655" s="41" t="s">
        <v>656</v>
      </c>
      <c r="H655" s="41" t="s">
        <v>727</v>
      </c>
      <c r="I655" s="41" t="s">
        <v>677</v>
      </c>
      <c r="J655" s="41" t="s">
        <v>709</v>
      </c>
      <c r="K655" s="41" t="s">
        <v>710</v>
      </c>
      <c r="L655" s="41" t="s">
        <v>695</v>
      </c>
      <c r="M655" s="41">
        <v>0.6</v>
      </c>
      <c r="N655" s="44"/>
    </row>
    <row r="656" customHeight="1" spans="1:14">
      <c r="A656" s="38">
        <v>296</v>
      </c>
      <c r="B656" s="39" t="s">
        <v>776</v>
      </c>
      <c r="C656" s="39" t="s">
        <v>691</v>
      </c>
      <c r="D656" s="39" t="s">
        <v>645</v>
      </c>
      <c r="E656" s="39" t="s">
        <v>657</v>
      </c>
      <c r="F656" s="39" t="s">
        <v>1633</v>
      </c>
      <c r="G656" s="39" t="s">
        <v>655</v>
      </c>
      <c r="H656" s="39" t="s">
        <v>727</v>
      </c>
      <c r="I656" s="39" t="s">
        <v>700</v>
      </c>
      <c r="J656" s="39" t="s">
        <v>709</v>
      </c>
      <c r="K656" s="39" t="s">
        <v>710</v>
      </c>
      <c r="L656" s="39" t="s">
        <v>684</v>
      </c>
      <c r="M656" s="39">
        <v>0.85</v>
      </c>
      <c r="N656" s="43"/>
    </row>
    <row r="657" customHeight="1" spans="1:14">
      <c r="A657" s="40">
        <v>297</v>
      </c>
      <c r="B657" s="41" t="s">
        <v>1523</v>
      </c>
      <c r="C657" s="41" t="s">
        <v>691</v>
      </c>
      <c r="D657" s="41" t="s">
        <v>646</v>
      </c>
      <c r="E657" s="41" t="s">
        <v>658</v>
      </c>
      <c r="F657" s="41" t="s">
        <v>1634</v>
      </c>
      <c r="G657" s="41" t="s">
        <v>652</v>
      </c>
      <c r="H657" s="41" t="s">
        <v>687</v>
      </c>
      <c r="I657" s="41" t="s">
        <v>688</v>
      </c>
      <c r="J657" s="41" t="s">
        <v>709</v>
      </c>
      <c r="K657" s="41" t="s">
        <v>732</v>
      </c>
      <c r="L657" s="41" t="s">
        <v>680</v>
      </c>
      <c r="M657" s="41">
        <v>0.9</v>
      </c>
      <c r="N657" s="44"/>
    </row>
    <row r="658" customHeight="1" spans="1:14">
      <c r="A658" s="38">
        <v>298</v>
      </c>
      <c r="B658" s="39" t="s">
        <v>1635</v>
      </c>
      <c r="C658" s="39" t="s">
        <v>691</v>
      </c>
      <c r="D658" s="39" t="s">
        <v>641</v>
      </c>
      <c r="E658" s="39" t="s">
        <v>658</v>
      </c>
      <c r="F658" s="39" t="s">
        <v>1636</v>
      </c>
      <c r="G658" s="39" t="s">
        <v>656</v>
      </c>
      <c r="H658" s="39" t="s">
        <v>676</v>
      </c>
      <c r="I658" s="39" t="s">
        <v>688</v>
      </c>
      <c r="J658" s="39" t="s">
        <v>678</v>
      </c>
      <c r="K658" s="39" t="s">
        <v>710</v>
      </c>
      <c r="L658" s="39" t="s">
        <v>680</v>
      </c>
      <c r="M658" s="39">
        <v>0.9</v>
      </c>
      <c r="N658" s="43"/>
    </row>
    <row r="659" customHeight="1" spans="1:14">
      <c r="A659" s="40">
        <v>299</v>
      </c>
      <c r="B659" s="41" t="s">
        <v>1637</v>
      </c>
      <c r="C659" s="41" t="s">
        <v>691</v>
      </c>
      <c r="D659" s="41" t="s">
        <v>638</v>
      </c>
      <c r="E659" s="41" t="s">
        <v>658</v>
      </c>
      <c r="F659" s="41" t="s">
        <v>1638</v>
      </c>
      <c r="G659" s="41" t="s">
        <v>656</v>
      </c>
      <c r="H659" s="41" t="s">
        <v>683</v>
      </c>
      <c r="I659" s="41" t="s">
        <v>677</v>
      </c>
      <c r="J659" s="41" t="s">
        <v>709</v>
      </c>
      <c r="K659" s="41" t="s">
        <v>694</v>
      </c>
      <c r="L659" s="41" t="s">
        <v>680</v>
      </c>
      <c r="M659" s="41">
        <v>0.9</v>
      </c>
      <c r="N659" s="44"/>
    </row>
    <row r="660" customHeight="1" spans="1:14">
      <c r="A660" s="38">
        <v>300</v>
      </c>
      <c r="B660" s="39" t="s">
        <v>1254</v>
      </c>
      <c r="C660" s="39" t="s">
        <v>674</v>
      </c>
      <c r="D660" s="39" t="s">
        <v>641</v>
      </c>
      <c r="E660" s="39" t="s">
        <v>658</v>
      </c>
      <c r="F660" s="39" t="s">
        <v>1639</v>
      </c>
      <c r="G660" s="39" t="s">
        <v>655</v>
      </c>
      <c r="H660" s="39" t="s">
        <v>718</v>
      </c>
      <c r="I660" s="39" t="s">
        <v>708</v>
      </c>
      <c r="J660" s="39" t="s">
        <v>709</v>
      </c>
      <c r="K660" s="39" t="s">
        <v>732</v>
      </c>
      <c r="L660" s="39" t="s">
        <v>743</v>
      </c>
      <c r="M660" s="39">
        <v>0</v>
      </c>
      <c r="N660" s="43"/>
    </row>
    <row r="661" customHeight="1" spans="1:14">
      <c r="A661" s="40">
        <v>301</v>
      </c>
      <c r="B661" s="41" t="s">
        <v>1208</v>
      </c>
      <c r="C661" s="41" t="s">
        <v>691</v>
      </c>
      <c r="D661" s="41" t="s">
        <v>644</v>
      </c>
      <c r="E661" s="41" t="s">
        <v>657</v>
      </c>
      <c r="F661" s="41" t="s">
        <v>1640</v>
      </c>
      <c r="G661" s="41" t="s">
        <v>656</v>
      </c>
      <c r="H661" s="41" t="s">
        <v>718</v>
      </c>
      <c r="I661" s="41" t="s">
        <v>693</v>
      </c>
      <c r="J661" s="41" t="s">
        <v>709</v>
      </c>
      <c r="K661" s="41" t="s">
        <v>679</v>
      </c>
      <c r="L661" s="41" t="s">
        <v>715</v>
      </c>
      <c r="M661" s="41">
        <v>0</v>
      </c>
      <c r="N661" s="44"/>
    </row>
    <row r="662" customHeight="1" spans="1:14">
      <c r="A662" s="38">
        <v>302</v>
      </c>
      <c r="B662" s="39" t="s">
        <v>911</v>
      </c>
      <c r="C662" s="39" t="s">
        <v>674</v>
      </c>
      <c r="D662" s="39" t="s">
        <v>647</v>
      </c>
      <c r="E662" s="39" t="s">
        <v>658</v>
      </c>
      <c r="F662" s="39" t="s">
        <v>1641</v>
      </c>
      <c r="G662" s="39" t="s">
        <v>654</v>
      </c>
      <c r="H662" s="39" t="s">
        <v>683</v>
      </c>
      <c r="I662" s="39" t="s">
        <v>708</v>
      </c>
      <c r="J662" s="39" t="s">
        <v>678</v>
      </c>
      <c r="K662" s="39" t="s">
        <v>701</v>
      </c>
      <c r="L662" s="39" t="s">
        <v>719</v>
      </c>
      <c r="M662" s="39">
        <v>0</v>
      </c>
      <c r="N662" s="43"/>
    </row>
    <row r="663" customHeight="1" spans="1:14">
      <c r="A663" s="40">
        <v>303</v>
      </c>
      <c r="B663" s="41" t="s">
        <v>1294</v>
      </c>
      <c r="C663" s="41" t="s">
        <v>691</v>
      </c>
      <c r="D663" s="41" t="s">
        <v>639</v>
      </c>
      <c r="E663" s="41" t="s">
        <v>658</v>
      </c>
      <c r="F663" s="41" t="s">
        <v>1642</v>
      </c>
      <c r="G663" s="41" t="s">
        <v>655</v>
      </c>
      <c r="H663" s="41" t="s">
        <v>722</v>
      </c>
      <c r="I663" s="41" t="s">
        <v>708</v>
      </c>
      <c r="J663" s="41" t="s">
        <v>678</v>
      </c>
      <c r="K663" s="41" t="s">
        <v>694</v>
      </c>
      <c r="L663" s="41" t="s">
        <v>719</v>
      </c>
      <c r="M663" s="41">
        <v>0</v>
      </c>
      <c r="N663" s="44"/>
    </row>
    <row r="664" customHeight="1" spans="1:14">
      <c r="A664" s="38">
        <v>304</v>
      </c>
      <c r="B664" s="39" t="s">
        <v>849</v>
      </c>
      <c r="C664" s="39" t="s">
        <v>691</v>
      </c>
      <c r="D664" s="39" t="s">
        <v>646</v>
      </c>
      <c r="E664" s="39" t="s">
        <v>657</v>
      </c>
      <c r="F664" s="39" t="s">
        <v>1643</v>
      </c>
      <c r="G664" s="39" t="s">
        <v>653</v>
      </c>
      <c r="H664" s="39" t="s">
        <v>707</v>
      </c>
      <c r="I664" s="39" t="s">
        <v>688</v>
      </c>
      <c r="J664" s="39" t="s">
        <v>709</v>
      </c>
      <c r="K664" s="39" t="s">
        <v>694</v>
      </c>
      <c r="L664" s="39" t="s">
        <v>715</v>
      </c>
      <c r="M664" s="39">
        <v>0</v>
      </c>
      <c r="N664" s="43"/>
    </row>
    <row r="665" customHeight="1" spans="1:14">
      <c r="A665" s="40">
        <v>305</v>
      </c>
      <c r="B665" s="41" t="s">
        <v>1040</v>
      </c>
      <c r="C665" s="41" t="s">
        <v>691</v>
      </c>
      <c r="D665" s="41" t="s">
        <v>647</v>
      </c>
      <c r="E665" s="41" t="s">
        <v>651</v>
      </c>
      <c r="F665" s="41" t="s">
        <v>1644</v>
      </c>
      <c r="G665" s="41" t="s">
        <v>654</v>
      </c>
      <c r="H665" s="41" t="s">
        <v>718</v>
      </c>
      <c r="I665" s="41" t="s">
        <v>708</v>
      </c>
      <c r="J665" s="41" t="s">
        <v>678</v>
      </c>
      <c r="K665" s="41" t="s">
        <v>701</v>
      </c>
      <c r="L665" s="41" t="s">
        <v>684</v>
      </c>
      <c r="M665" s="41">
        <v>0.85</v>
      </c>
      <c r="N665" s="44"/>
    </row>
    <row r="666" customHeight="1" spans="1:14">
      <c r="A666" s="38">
        <v>306</v>
      </c>
      <c r="B666" s="39" t="s">
        <v>1645</v>
      </c>
      <c r="C666" s="39" t="s">
        <v>691</v>
      </c>
      <c r="D666" s="39" t="s">
        <v>647</v>
      </c>
      <c r="E666" s="39" t="s">
        <v>657</v>
      </c>
      <c r="F666" s="39" t="s">
        <v>1646</v>
      </c>
      <c r="G666" s="39" t="s">
        <v>652</v>
      </c>
      <c r="H666" s="39" t="s">
        <v>718</v>
      </c>
      <c r="I666" s="39" t="s">
        <v>708</v>
      </c>
      <c r="J666" s="39" t="s">
        <v>709</v>
      </c>
      <c r="K666" s="39" t="s">
        <v>694</v>
      </c>
      <c r="L666" s="39" t="s">
        <v>695</v>
      </c>
      <c r="M666" s="39">
        <v>0.6</v>
      </c>
      <c r="N666" s="43"/>
    </row>
    <row r="667" customHeight="1" spans="1:14">
      <c r="A667" s="40">
        <v>307</v>
      </c>
      <c r="B667" s="41" t="s">
        <v>1545</v>
      </c>
      <c r="C667" s="41" t="s">
        <v>691</v>
      </c>
      <c r="D667" s="41" t="s">
        <v>643</v>
      </c>
      <c r="E667" s="41" t="s">
        <v>657</v>
      </c>
      <c r="F667" s="41" t="s">
        <v>1647</v>
      </c>
      <c r="G667" s="41" t="s">
        <v>654</v>
      </c>
      <c r="H667" s="41" t="s">
        <v>687</v>
      </c>
      <c r="I667" s="41" t="s">
        <v>677</v>
      </c>
      <c r="J667" s="41" t="s">
        <v>678</v>
      </c>
      <c r="K667" s="41" t="s">
        <v>710</v>
      </c>
      <c r="L667" s="41" t="s">
        <v>695</v>
      </c>
      <c r="M667" s="41">
        <v>0.6</v>
      </c>
      <c r="N667" s="44"/>
    </row>
    <row r="668" customHeight="1" spans="1:14">
      <c r="A668" s="38">
        <v>308</v>
      </c>
      <c r="B668" s="39" t="s">
        <v>774</v>
      </c>
      <c r="C668" s="39" t="s">
        <v>674</v>
      </c>
      <c r="D668" s="39" t="s">
        <v>640</v>
      </c>
      <c r="E668" s="39" t="s">
        <v>658</v>
      </c>
      <c r="F668" s="39" t="s">
        <v>1648</v>
      </c>
      <c r="G668" s="39" t="s">
        <v>655</v>
      </c>
      <c r="H668" s="39" t="s">
        <v>676</v>
      </c>
      <c r="I668" s="39" t="s">
        <v>677</v>
      </c>
      <c r="J668" s="39" t="s">
        <v>678</v>
      </c>
      <c r="K668" s="39" t="s">
        <v>710</v>
      </c>
      <c r="L668" s="39" t="s">
        <v>680</v>
      </c>
      <c r="M668" s="39">
        <v>0.9</v>
      </c>
      <c r="N668" s="43"/>
    </row>
    <row r="669" customHeight="1" spans="1:14">
      <c r="A669" s="40">
        <v>309</v>
      </c>
      <c r="B669" s="41" t="s">
        <v>1027</v>
      </c>
      <c r="C669" s="41" t="s">
        <v>691</v>
      </c>
      <c r="D669" s="41" t="s">
        <v>638</v>
      </c>
      <c r="E669" s="41" t="s">
        <v>657</v>
      </c>
      <c r="F669" s="41" t="s">
        <v>1649</v>
      </c>
      <c r="G669" s="41" t="s">
        <v>654</v>
      </c>
      <c r="H669" s="41" t="s">
        <v>718</v>
      </c>
      <c r="I669" s="41" t="s">
        <v>700</v>
      </c>
      <c r="J669" s="41" t="s">
        <v>678</v>
      </c>
      <c r="K669" s="41" t="s">
        <v>710</v>
      </c>
      <c r="L669" s="41" t="s">
        <v>680</v>
      </c>
      <c r="M669" s="41">
        <v>0.9</v>
      </c>
      <c r="N669" s="44"/>
    </row>
    <row r="670" customHeight="1" spans="1:14">
      <c r="A670" s="38">
        <v>310</v>
      </c>
      <c r="B670" s="39" t="s">
        <v>1650</v>
      </c>
      <c r="C670" s="39" t="s">
        <v>691</v>
      </c>
      <c r="D670" s="39" t="s">
        <v>638</v>
      </c>
      <c r="E670" s="39" t="s">
        <v>657</v>
      </c>
      <c r="F670" s="39" t="s">
        <v>1651</v>
      </c>
      <c r="G670" s="39" t="s">
        <v>655</v>
      </c>
      <c r="H670" s="39" t="s">
        <v>722</v>
      </c>
      <c r="I670" s="39" t="s">
        <v>708</v>
      </c>
      <c r="J670" s="39" t="s">
        <v>678</v>
      </c>
      <c r="K670" s="39" t="s">
        <v>701</v>
      </c>
      <c r="L670" s="39" t="s">
        <v>743</v>
      </c>
      <c r="M670" s="39">
        <v>0</v>
      </c>
      <c r="N670" s="43"/>
    </row>
    <row r="671" customHeight="1" spans="1:14">
      <c r="A671" s="40">
        <v>311</v>
      </c>
      <c r="B671" s="41" t="s">
        <v>1652</v>
      </c>
      <c r="C671" s="41" t="s">
        <v>691</v>
      </c>
      <c r="D671" s="41" t="s">
        <v>642</v>
      </c>
      <c r="E671" s="41" t="s">
        <v>658</v>
      </c>
      <c r="F671" s="41" t="s">
        <v>1653</v>
      </c>
      <c r="G671" s="41" t="s">
        <v>653</v>
      </c>
      <c r="H671" s="41" t="s">
        <v>727</v>
      </c>
      <c r="I671" s="41" t="s">
        <v>677</v>
      </c>
      <c r="J671" s="41" t="s">
        <v>709</v>
      </c>
      <c r="K671" s="41" t="s">
        <v>689</v>
      </c>
      <c r="L671" s="41" t="s">
        <v>680</v>
      </c>
      <c r="M671" s="41">
        <v>0.9</v>
      </c>
      <c r="N671" s="44"/>
    </row>
    <row r="672" customHeight="1" spans="1:14">
      <c r="A672" s="38">
        <v>312</v>
      </c>
      <c r="B672" s="39" t="s">
        <v>1654</v>
      </c>
      <c r="C672" s="39" t="s">
        <v>691</v>
      </c>
      <c r="D672" s="39" t="s">
        <v>647</v>
      </c>
      <c r="E672" s="39" t="s">
        <v>658</v>
      </c>
      <c r="F672" s="39" t="s">
        <v>1655</v>
      </c>
      <c r="G672" s="39" t="s">
        <v>654</v>
      </c>
      <c r="H672" s="39" t="s">
        <v>676</v>
      </c>
      <c r="I672" s="39" t="s">
        <v>677</v>
      </c>
      <c r="J672" s="39" t="s">
        <v>678</v>
      </c>
      <c r="K672" s="39" t="s">
        <v>732</v>
      </c>
      <c r="L672" s="39" t="s">
        <v>715</v>
      </c>
      <c r="M672" s="39">
        <v>0</v>
      </c>
      <c r="N672" s="43"/>
    </row>
    <row r="673" customHeight="1" spans="1:14">
      <c r="A673" s="40">
        <v>313</v>
      </c>
      <c r="B673" s="41" t="s">
        <v>1494</v>
      </c>
      <c r="C673" s="41" t="s">
        <v>691</v>
      </c>
      <c r="D673" s="41" t="s">
        <v>649</v>
      </c>
      <c r="E673" s="41" t="s">
        <v>658</v>
      </c>
      <c r="F673" s="41" t="s">
        <v>1656</v>
      </c>
      <c r="G673" s="41" t="s">
        <v>652</v>
      </c>
      <c r="H673" s="41" t="s">
        <v>722</v>
      </c>
      <c r="I673" s="41" t="s">
        <v>677</v>
      </c>
      <c r="J673" s="41" t="s">
        <v>678</v>
      </c>
      <c r="K673" s="41" t="s">
        <v>710</v>
      </c>
      <c r="L673" s="41" t="s">
        <v>719</v>
      </c>
      <c r="M673" s="41">
        <v>0</v>
      </c>
      <c r="N673" s="44"/>
    </row>
    <row r="674" customHeight="1" spans="1:14">
      <c r="A674" s="38">
        <v>314</v>
      </c>
      <c r="B674" s="39" t="s">
        <v>1046</v>
      </c>
      <c r="C674" s="39" t="s">
        <v>691</v>
      </c>
      <c r="D674" s="39" t="s">
        <v>638</v>
      </c>
      <c r="E674" s="39" t="s">
        <v>651</v>
      </c>
      <c r="F674" s="39" t="s">
        <v>1657</v>
      </c>
      <c r="G674" s="39" t="s">
        <v>652</v>
      </c>
      <c r="H674" s="39" t="s">
        <v>687</v>
      </c>
      <c r="I674" s="39" t="s">
        <v>700</v>
      </c>
      <c r="J674" s="39" t="s">
        <v>709</v>
      </c>
      <c r="K674" s="39" t="s">
        <v>694</v>
      </c>
      <c r="L674" s="39" t="s">
        <v>719</v>
      </c>
      <c r="M674" s="39">
        <v>0</v>
      </c>
      <c r="N674" s="43"/>
    </row>
    <row r="675" customHeight="1" spans="1:14">
      <c r="A675" s="40">
        <v>315</v>
      </c>
      <c r="B675" s="41" t="s">
        <v>1658</v>
      </c>
      <c r="C675" s="41" t="s">
        <v>674</v>
      </c>
      <c r="D675" s="41" t="s">
        <v>641</v>
      </c>
      <c r="E675" s="41" t="s">
        <v>657</v>
      </c>
      <c r="F675" s="41" t="s">
        <v>1659</v>
      </c>
      <c r="G675" s="41" t="s">
        <v>652</v>
      </c>
      <c r="H675" s="41" t="s">
        <v>687</v>
      </c>
      <c r="I675" s="41" t="s">
        <v>693</v>
      </c>
      <c r="J675" s="41" t="s">
        <v>709</v>
      </c>
      <c r="K675" s="41" t="s">
        <v>694</v>
      </c>
      <c r="L675" s="41" t="s">
        <v>719</v>
      </c>
      <c r="M675" s="41">
        <v>0</v>
      </c>
      <c r="N675" s="44"/>
    </row>
    <row r="676" customHeight="1" spans="1:14">
      <c r="A676" s="38">
        <v>316</v>
      </c>
      <c r="B676" s="39" t="s">
        <v>1003</v>
      </c>
      <c r="C676" s="39" t="s">
        <v>691</v>
      </c>
      <c r="D676" s="39" t="s">
        <v>641</v>
      </c>
      <c r="E676" s="39" t="s">
        <v>658</v>
      </c>
      <c r="F676" s="39" t="s">
        <v>1660</v>
      </c>
      <c r="G676" s="39" t="s">
        <v>655</v>
      </c>
      <c r="H676" s="39" t="s">
        <v>718</v>
      </c>
      <c r="I676" s="39" t="s">
        <v>677</v>
      </c>
      <c r="J676" s="39" t="s">
        <v>709</v>
      </c>
      <c r="K676" s="39" t="s">
        <v>732</v>
      </c>
      <c r="L676" s="39" t="s">
        <v>715</v>
      </c>
      <c r="M676" s="39">
        <v>0</v>
      </c>
      <c r="N676" s="43"/>
    </row>
    <row r="677" customHeight="1" spans="1:14">
      <c r="A677" s="40">
        <v>317</v>
      </c>
      <c r="B677" s="41" t="s">
        <v>1023</v>
      </c>
      <c r="C677" s="41" t="s">
        <v>691</v>
      </c>
      <c r="D677" s="41" t="s">
        <v>649</v>
      </c>
      <c r="E677" s="41" t="s">
        <v>657</v>
      </c>
      <c r="F677" s="41" t="s">
        <v>1661</v>
      </c>
      <c r="G677" s="41" t="s">
        <v>655</v>
      </c>
      <c r="H677" s="41" t="s">
        <v>727</v>
      </c>
      <c r="I677" s="41" t="s">
        <v>693</v>
      </c>
      <c r="J677" s="41" t="s">
        <v>678</v>
      </c>
      <c r="K677" s="41" t="s">
        <v>679</v>
      </c>
      <c r="L677" s="41" t="s">
        <v>743</v>
      </c>
      <c r="M677" s="41">
        <v>0</v>
      </c>
      <c r="N677" s="44"/>
    </row>
    <row r="678" customHeight="1" spans="1:14">
      <c r="A678" s="38">
        <v>318</v>
      </c>
      <c r="B678" s="39" t="s">
        <v>723</v>
      </c>
      <c r="C678" s="39" t="s">
        <v>691</v>
      </c>
      <c r="D678" s="39" t="s">
        <v>646</v>
      </c>
      <c r="E678" s="39" t="s">
        <v>658</v>
      </c>
      <c r="F678" s="39" t="s">
        <v>1662</v>
      </c>
      <c r="G678" s="39" t="s">
        <v>652</v>
      </c>
      <c r="H678" s="39" t="s">
        <v>676</v>
      </c>
      <c r="I678" s="39" t="s">
        <v>688</v>
      </c>
      <c r="J678" s="39" t="s">
        <v>678</v>
      </c>
      <c r="K678" s="39" t="s">
        <v>732</v>
      </c>
      <c r="L678" s="39" t="s">
        <v>715</v>
      </c>
      <c r="M678" s="39">
        <v>0</v>
      </c>
      <c r="N678" s="43"/>
    </row>
    <row r="679" customHeight="1" spans="1:14">
      <c r="A679" s="40">
        <v>319</v>
      </c>
      <c r="B679" s="41" t="s">
        <v>1663</v>
      </c>
      <c r="C679" s="41" t="s">
        <v>674</v>
      </c>
      <c r="D679" s="41" t="s">
        <v>639</v>
      </c>
      <c r="E679" s="41" t="s">
        <v>658</v>
      </c>
      <c r="F679" s="41" t="s">
        <v>1664</v>
      </c>
      <c r="G679" s="41" t="s">
        <v>656</v>
      </c>
      <c r="H679" s="41" t="s">
        <v>687</v>
      </c>
      <c r="I679" s="41" t="s">
        <v>700</v>
      </c>
      <c r="J679" s="41" t="s">
        <v>709</v>
      </c>
      <c r="K679" s="41" t="s">
        <v>701</v>
      </c>
      <c r="L679" s="41" t="s">
        <v>743</v>
      </c>
      <c r="M679" s="41">
        <v>0</v>
      </c>
      <c r="N679" s="44"/>
    </row>
    <row r="680" customHeight="1" spans="1:14">
      <c r="A680" s="38">
        <v>320</v>
      </c>
      <c r="B680" s="39" t="s">
        <v>1007</v>
      </c>
      <c r="C680" s="39" t="s">
        <v>674</v>
      </c>
      <c r="D680" s="39" t="s">
        <v>649</v>
      </c>
      <c r="E680" s="39" t="s">
        <v>658</v>
      </c>
      <c r="F680" s="39" t="s">
        <v>1665</v>
      </c>
      <c r="G680" s="39" t="s">
        <v>652</v>
      </c>
      <c r="H680" s="39" t="s">
        <v>722</v>
      </c>
      <c r="I680" s="39" t="s">
        <v>700</v>
      </c>
      <c r="J680" s="39" t="s">
        <v>678</v>
      </c>
      <c r="K680" s="39" t="s">
        <v>694</v>
      </c>
      <c r="L680" s="39" t="s">
        <v>684</v>
      </c>
      <c r="M680" s="39">
        <v>0.85</v>
      </c>
      <c r="N680" s="43"/>
    </row>
    <row r="681" customHeight="1" spans="1:14">
      <c r="A681" s="40">
        <v>321</v>
      </c>
      <c r="B681" s="41" t="s">
        <v>1327</v>
      </c>
      <c r="C681" s="41" t="s">
        <v>691</v>
      </c>
      <c r="D681" s="41" t="s">
        <v>641</v>
      </c>
      <c r="E681" s="41" t="s">
        <v>657</v>
      </c>
      <c r="F681" s="41" t="s">
        <v>1666</v>
      </c>
      <c r="G681" s="41" t="s">
        <v>653</v>
      </c>
      <c r="H681" s="41" t="s">
        <v>683</v>
      </c>
      <c r="I681" s="41" t="s">
        <v>677</v>
      </c>
      <c r="J681" s="41" t="s">
        <v>678</v>
      </c>
      <c r="K681" s="41" t="s">
        <v>710</v>
      </c>
      <c r="L681" s="41" t="s">
        <v>715</v>
      </c>
      <c r="M681" s="41">
        <v>0</v>
      </c>
      <c r="N681" s="44"/>
    </row>
    <row r="682" customHeight="1" spans="1:14">
      <c r="A682" s="38">
        <v>322</v>
      </c>
      <c r="B682" s="39" t="s">
        <v>958</v>
      </c>
      <c r="C682" s="39" t="s">
        <v>691</v>
      </c>
      <c r="D682" s="39" t="s">
        <v>640</v>
      </c>
      <c r="E682" s="39" t="s">
        <v>658</v>
      </c>
      <c r="F682" s="39" t="s">
        <v>1667</v>
      </c>
      <c r="G682" s="39" t="s">
        <v>656</v>
      </c>
      <c r="H682" s="39" t="s">
        <v>683</v>
      </c>
      <c r="I682" s="39" t="s">
        <v>677</v>
      </c>
      <c r="J682" s="39" t="s">
        <v>709</v>
      </c>
      <c r="K682" s="39" t="s">
        <v>732</v>
      </c>
      <c r="L682" s="39" t="s">
        <v>695</v>
      </c>
      <c r="M682" s="39">
        <v>0.6</v>
      </c>
      <c r="N682" s="43"/>
    </row>
    <row r="683" customHeight="1" spans="1:14">
      <c r="A683" s="40">
        <v>323</v>
      </c>
      <c r="B683" s="41" t="s">
        <v>1130</v>
      </c>
      <c r="C683" s="41" t="s">
        <v>674</v>
      </c>
      <c r="D683" s="41" t="s">
        <v>647</v>
      </c>
      <c r="E683" s="41" t="s">
        <v>657</v>
      </c>
      <c r="F683" s="41" t="s">
        <v>1668</v>
      </c>
      <c r="G683" s="41" t="s">
        <v>656</v>
      </c>
      <c r="H683" s="41" t="s">
        <v>718</v>
      </c>
      <c r="I683" s="41" t="s">
        <v>688</v>
      </c>
      <c r="J683" s="41" t="s">
        <v>678</v>
      </c>
      <c r="K683" s="41" t="s">
        <v>732</v>
      </c>
      <c r="L683" s="41" t="s">
        <v>680</v>
      </c>
      <c r="M683" s="41">
        <v>0.9</v>
      </c>
      <c r="N683" s="44"/>
    </row>
    <row r="684" customHeight="1" spans="1:14">
      <c r="A684" s="38">
        <v>324</v>
      </c>
      <c r="B684" s="39" t="s">
        <v>1378</v>
      </c>
      <c r="C684" s="39" t="s">
        <v>691</v>
      </c>
      <c r="D684" s="39" t="s">
        <v>639</v>
      </c>
      <c r="E684" s="39" t="s">
        <v>657</v>
      </c>
      <c r="F684" s="39" t="s">
        <v>1669</v>
      </c>
      <c r="G684" s="39" t="s">
        <v>656</v>
      </c>
      <c r="H684" s="39" t="s">
        <v>683</v>
      </c>
      <c r="I684" s="39" t="s">
        <v>677</v>
      </c>
      <c r="J684" s="39" t="s">
        <v>678</v>
      </c>
      <c r="K684" s="39" t="s">
        <v>694</v>
      </c>
      <c r="L684" s="39" t="s">
        <v>684</v>
      </c>
      <c r="M684" s="39">
        <v>0.85</v>
      </c>
      <c r="N684" s="43"/>
    </row>
    <row r="685" customHeight="1" spans="1:14">
      <c r="A685" s="40">
        <v>325</v>
      </c>
      <c r="B685" s="41" t="s">
        <v>1075</v>
      </c>
      <c r="C685" s="41" t="s">
        <v>691</v>
      </c>
      <c r="D685" s="41" t="s">
        <v>645</v>
      </c>
      <c r="E685" s="41" t="s">
        <v>651</v>
      </c>
      <c r="F685" s="41" t="s">
        <v>1670</v>
      </c>
      <c r="G685" s="41" t="s">
        <v>655</v>
      </c>
      <c r="H685" s="41" t="s">
        <v>718</v>
      </c>
      <c r="I685" s="41" t="s">
        <v>688</v>
      </c>
      <c r="J685" s="41" t="s">
        <v>678</v>
      </c>
      <c r="K685" s="41" t="s">
        <v>710</v>
      </c>
      <c r="L685" s="41" t="s">
        <v>715</v>
      </c>
      <c r="M685" s="41">
        <v>0</v>
      </c>
      <c r="N685" s="44"/>
    </row>
    <row r="686" customHeight="1" spans="1:14">
      <c r="A686" s="38">
        <v>326</v>
      </c>
      <c r="B686" s="39" t="s">
        <v>933</v>
      </c>
      <c r="C686" s="39" t="s">
        <v>691</v>
      </c>
      <c r="D686" s="39" t="s">
        <v>647</v>
      </c>
      <c r="E686" s="39" t="s">
        <v>658</v>
      </c>
      <c r="F686" s="39" t="s">
        <v>1671</v>
      </c>
      <c r="G686" s="39" t="s">
        <v>653</v>
      </c>
      <c r="H686" s="39" t="s">
        <v>707</v>
      </c>
      <c r="I686" s="39" t="s">
        <v>693</v>
      </c>
      <c r="J686" s="39" t="s">
        <v>709</v>
      </c>
      <c r="K686" s="39" t="s">
        <v>701</v>
      </c>
      <c r="L686" s="39" t="s">
        <v>719</v>
      </c>
      <c r="M686" s="39">
        <v>0</v>
      </c>
      <c r="N686" s="43"/>
    </row>
    <row r="687" customHeight="1" spans="1:14">
      <c r="A687" s="40">
        <v>327</v>
      </c>
      <c r="B687" s="41" t="s">
        <v>1260</v>
      </c>
      <c r="C687" s="41" t="s">
        <v>691</v>
      </c>
      <c r="D687" s="41" t="s">
        <v>646</v>
      </c>
      <c r="E687" s="41" t="s">
        <v>651</v>
      </c>
      <c r="F687" s="41" t="s">
        <v>1672</v>
      </c>
      <c r="G687" s="41" t="s">
        <v>653</v>
      </c>
      <c r="H687" s="41" t="s">
        <v>676</v>
      </c>
      <c r="I687" s="41" t="s">
        <v>700</v>
      </c>
      <c r="J687" s="41" t="s">
        <v>709</v>
      </c>
      <c r="K687" s="41" t="s">
        <v>679</v>
      </c>
      <c r="L687" s="41" t="s">
        <v>743</v>
      </c>
      <c r="M687" s="41">
        <v>0</v>
      </c>
      <c r="N687" s="44"/>
    </row>
    <row r="688" customHeight="1" spans="1:14">
      <c r="A688" s="38">
        <v>328</v>
      </c>
      <c r="B688" s="39" t="s">
        <v>1347</v>
      </c>
      <c r="C688" s="39" t="s">
        <v>674</v>
      </c>
      <c r="D688" s="39" t="s">
        <v>645</v>
      </c>
      <c r="E688" s="39" t="s">
        <v>657</v>
      </c>
      <c r="F688" s="39" t="s">
        <v>1673</v>
      </c>
      <c r="G688" s="39" t="s">
        <v>653</v>
      </c>
      <c r="H688" s="39" t="s">
        <v>676</v>
      </c>
      <c r="I688" s="39" t="s">
        <v>688</v>
      </c>
      <c r="J688" s="39" t="s">
        <v>678</v>
      </c>
      <c r="K688" s="39" t="s">
        <v>732</v>
      </c>
      <c r="L688" s="39" t="s">
        <v>680</v>
      </c>
      <c r="M688" s="39">
        <v>0.9</v>
      </c>
      <c r="N688" s="43"/>
    </row>
    <row r="689" customHeight="1" spans="1:14">
      <c r="A689" s="40">
        <v>329</v>
      </c>
      <c r="B689" s="41" t="s">
        <v>968</v>
      </c>
      <c r="C689" s="41" t="s">
        <v>691</v>
      </c>
      <c r="D689" s="41" t="s">
        <v>649</v>
      </c>
      <c r="E689" s="41" t="s">
        <v>658</v>
      </c>
      <c r="F689" s="41" t="s">
        <v>1674</v>
      </c>
      <c r="G689" s="41" t="s">
        <v>656</v>
      </c>
      <c r="H689" s="41" t="s">
        <v>727</v>
      </c>
      <c r="I689" s="41" t="s">
        <v>677</v>
      </c>
      <c r="J689" s="41" t="s">
        <v>678</v>
      </c>
      <c r="K689" s="41" t="s">
        <v>732</v>
      </c>
      <c r="L689" s="41" t="s">
        <v>680</v>
      </c>
      <c r="M689" s="41">
        <v>0.9</v>
      </c>
      <c r="N689" s="44"/>
    </row>
    <row r="690" customHeight="1" spans="1:14">
      <c r="A690" s="38">
        <v>330</v>
      </c>
      <c r="B690" s="39" t="s">
        <v>758</v>
      </c>
      <c r="C690" s="39" t="s">
        <v>691</v>
      </c>
      <c r="D690" s="39" t="s">
        <v>638</v>
      </c>
      <c r="E690" s="39" t="s">
        <v>657</v>
      </c>
      <c r="F690" s="39" t="s">
        <v>1675</v>
      </c>
      <c r="G690" s="39" t="s">
        <v>656</v>
      </c>
      <c r="H690" s="39" t="s">
        <v>683</v>
      </c>
      <c r="I690" s="39" t="s">
        <v>677</v>
      </c>
      <c r="J690" s="39" t="s">
        <v>709</v>
      </c>
      <c r="K690" s="39" t="s">
        <v>689</v>
      </c>
      <c r="L690" s="39" t="s">
        <v>743</v>
      </c>
      <c r="M690" s="39">
        <v>0</v>
      </c>
      <c r="N690" s="43"/>
    </row>
    <row r="691" customHeight="1" spans="1:14">
      <c r="A691" s="40">
        <v>331</v>
      </c>
      <c r="B691" s="41" t="s">
        <v>834</v>
      </c>
      <c r="C691" s="41" t="s">
        <v>691</v>
      </c>
      <c r="D691" s="41" t="s">
        <v>649</v>
      </c>
      <c r="E691" s="41" t="s">
        <v>657</v>
      </c>
      <c r="F691" s="41" t="s">
        <v>1676</v>
      </c>
      <c r="G691" s="41" t="s">
        <v>656</v>
      </c>
      <c r="H691" s="41" t="s">
        <v>687</v>
      </c>
      <c r="I691" s="41" t="s">
        <v>688</v>
      </c>
      <c r="J691" s="41" t="s">
        <v>709</v>
      </c>
      <c r="K691" s="41" t="s">
        <v>679</v>
      </c>
      <c r="L691" s="41" t="s">
        <v>695</v>
      </c>
      <c r="M691" s="41">
        <v>0.6</v>
      </c>
      <c r="N691" s="44"/>
    </row>
    <row r="692" customHeight="1" spans="1:14">
      <c r="A692" s="38">
        <v>332</v>
      </c>
      <c r="B692" s="39" t="s">
        <v>746</v>
      </c>
      <c r="C692" s="39" t="s">
        <v>691</v>
      </c>
      <c r="D692" s="39" t="s">
        <v>645</v>
      </c>
      <c r="E692" s="39" t="s">
        <v>657</v>
      </c>
      <c r="F692" s="39" t="s">
        <v>1677</v>
      </c>
      <c r="G692" s="39" t="s">
        <v>655</v>
      </c>
      <c r="H692" s="39" t="s">
        <v>676</v>
      </c>
      <c r="I692" s="39" t="s">
        <v>688</v>
      </c>
      <c r="J692" s="39" t="s">
        <v>678</v>
      </c>
      <c r="K692" s="39" t="s">
        <v>732</v>
      </c>
      <c r="L692" s="39" t="s">
        <v>695</v>
      </c>
      <c r="M692" s="39">
        <v>0.6</v>
      </c>
      <c r="N692" s="43"/>
    </row>
    <row r="693" customHeight="1" spans="1:14">
      <c r="A693" s="40">
        <v>333</v>
      </c>
      <c r="B693" s="41" t="s">
        <v>874</v>
      </c>
      <c r="C693" s="41" t="s">
        <v>691</v>
      </c>
      <c r="D693" s="41" t="s">
        <v>642</v>
      </c>
      <c r="E693" s="41" t="s">
        <v>657</v>
      </c>
      <c r="F693" s="41" t="s">
        <v>1678</v>
      </c>
      <c r="G693" s="41" t="s">
        <v>654</v>
      </c>
      <c r="H693" s="41" t="s">
        <v>683</v>
      </c>
      <c r="I693" s="41" t="s">
        <v>693</v>
      </c>
      <c r="J693" s="41" t="s">
        <v>678</v>
      </c>
      <c r="K693" s="41" t="s">
        <v>694</v>
      </c>
      <c r="L693" s="41" t="s">
        <v>743</v>
      </c>
      <c r="M693" s="41">
        <v>0</v>
      </c>
      <c r="N693" s="44"/>
    </row>
    <row r="694" customHeight="1" spans="1:14">
      <c r="A694" s="38">
        <v>334</v>
      </c>
      <c r="B694" s="39" t="s">
        <v>1679</v>
      </c>
      <c r="C694" s="39" t="s">
        <v>691</v>
      </c>
      <c r="D694" s="39" t="s">
        <v>641</v>
      </c>
      <c r="E694" s="39" t="s">
        <v>657</v>
      </c>
      <c r="F694" s="39" t="s">
        <v>1680</v>
      </c>
      <c r="G694" s="39" t="s">
        <v>653</v>
      </c>
      <c r="H694" s="39" t="s">
        <v>727</v>
      </c>
      <c r="I694" s="39" t="s">
        <v>677</v>
      </c>
      <c r="J694" s="39" t="s">
        <v>678</v>
      </c>
      <c r="K694" s="39" t="s">
        <v>689</v>
      </c>
      <c r="L694" s="39" t="s">
        <v>743</v>
      </c>
      <c r="M694" s="39">
        <v>0</v>
      </c>
      <c r="N694" s="43"/>
    </row>
    <row r="695" customHeight="1" spans="1:14">
      <c r="A695" s="40">
        <v>335</v>
      </c>
      <c r="B695" s="41" t="s">
        <v>1462</v>
      </c>
      <c r="C695" s="41" t="s">
        <v>691</v>
      </c>
      <c r="D695" s="41" t="s">
        <v>647</v>
      </c>
      <c r="E695" s="41" t="s">
        <v>658</v>
      </c>
      <c r="F695" s="41" t="s">
        <v>1681</v>
      </c>
      <c r="G695" s="41" t="s">
        <v>656</v>
      </c>
      <c r="H695" s="41" t="s">
        <v>676</v>
      </c>
      <c r="I695" s="41" t="s">
        <v>700</v>
      </c>
      <c r="J695" s="41" t="s">
        <v>709</v>
      </c>
      <c r="K695" s="41" t="s">
        <v>679</v>
      </c>
      <c r="L695" s="41" t="s">
        <v>684</v>
      </c>
      <c r="M695" s="41">
        <v>0.85</v>
      </c>
      <c r="N695" s="44"/>
    </row>
    <row r="696" customHeight="1" spans="1:14">
      <c r="A696" s="38">
        <v>336</v>
      </c>
      <c r="B696" s="39" t="s">
        <v>1172</v>
      </c>
      <c r="C696" s="39" t="s">
        <v>674</v>
      </c>
      <c r="D696" s="39" t="s">
        <v>647</v>
      </c>
      <c r="E696" s="39" t="s">
        <v>657</v>
      </c>
      <c r="F696" s="39" t="s">
        <v>1682</v>
      </c>
      <c r="G696" s="39" t="s">
        <v>652</v>
      </c>
      <c r="H696" s="39" t="s">
        <v>676</v>
      </c>
      <c r="I696" s="39" t="s">
        <v>693</v>
      </c>
      <c r="J696" s="39" t="s">
        <v>709</v>
      </c>
      <c r="K696" s="39" t="s">
        <v>679</v>
      </c>
      <c r="L696" s="39" t="s">
        <v>719</v>
      </c>
      <c r="M696" s="39">
        <v>0</v>
      </c>
      <c r="N696" s="43"/>
    </row>
    <row r="697" customHeight="1" spans="1:14">
      <c r="A697" s="40">
        <v>337</v>
      </c>
      <c r="B697" s="41" t="s">
        <v>866</v>
      </c>
      <c r="C697" s="41" t="s">
        <v>691</v>
      </c>
      <c r="D697" s="41" t="s">
        <v>645</v>
      </c>
      <c r="E697" s="41" t="s">
        <v>658</v>
      </c>
      <c r="F697" s="41" t="s">
        <v>1683</v>
      </c>
      <c r="G697" s="41" t="s">
        <v>652</v>
      </c>
      <c r="H697" s="41" t="s">
        <v>676</v>
      </c>
      <c r="I697" s="41" t="s">
        <v>700</v>
      </c>
      <c r="J697" s="41" t="s">
        <v>678</v>
      </c>
      <c r="K697" s="41" t="s">
        <v>710</v>
      </c>
      <c r="L697" s="41" t="s">
        <v>684</v>
      </c>
      <c r="M697" s="41">
        <v>0.85</v>
      </c>
      <c r="N697" s="44"/>
    </row>
    <row r="698" customHeight="1" spans="1:14">
      <c r="A698" s="38">
        <v>338</v>
      </c>
      <c r="B698" s="39" t="s">
        <v>896</v>
      </c>
      <c r="C698" s="39" t="s">
        <v>691</v>
      </c>
      <c r="D698" s="39" t="s">
        <v>647</v>
      </c>
      <c r="E698" s="39" t="s">
        <v>651</v>
      </c>
      <c r="F698" s="39" t="s">
        <v>1684</v>
      </c>
      <c r="G698" s="39" t="s">
        <v>653</v>
      </c>
      <c r="H698" s="39" t="s">
        <v>676</v>
      </c>
      <c r="I698" s="39" t="s">
        <v>708</v>
      </c>
      <c r="J698" s="39" t="s">
        <v>678</v>
      </c>
      <c r="K698" s="39" t="s">
        <v>710</v>
      </c>
      <c r="L698" s="39" t="s">
        <v>695</v>
      </c>
      <c r="M698" s="39">
        <v>0.6</v>
      </c>
      <c r="N698" s="43"/>
    </row>
    <row r="699" customHeight="1" spans="1:14">
      <c r="A699" s="40">
        <v>339</v>
      </c>
      <c r="B699" s="41" t="s">
        <v>1523</v>
      </c>
      <c r="C699" s="41" t="s">
        <v>691</v>
      </c>
      <c r="D699" s="41" t="s">
        <v>646</v>
      </c>
      <c r="E699" s="41" t="s">
        <v>658</v>
      </c>
      <c r="F699" s="41" t="s">
        <v>1685</v>
      </c>
      <c r="G699" s="41" t="s">
        <v>656</v>
      </c>
      <c r="H699" s="41" t="s">
        <v>687</v>
      </c>
      <c r="I699" s="41" t="s">
        <v>708</v>
      </c>
      <c r="J699" s="41" t="s">
        <v>709</v>
      </c>
      <c r="K699" s="41" t="s">
        <v>732</v>
      </c>
      <c r="L699" s="41" t="s">
        <v>715</v>
      </c>
      <c r="M699" s="41">
        <v>0</v>
      </c>
      <c r="N699" s="44"/>
    </row>
    <row r="700" customHeight="1" spans="1:14">
      <c r="A700" s="38">
        <v>340</v>
      </c>
      <c r="B700" s="39" t="s">
        <v>1525</v>
      </c>
      <c r="C700" s="39" t="s">
        <v>691</v>
      </c>
      <c r="D700" s="39" t="s">
        <v>646</v>
      </c>
      <c r="E700" s="39" t="s">
        <v>658</v>
      </c>
      <c r="F700" s="39" t="s">
        <v>1686</v>
      </c>
      <c r="G700" s="39" t="s">
        <v>652</v>
      </c>
      <c r="H700" s="39" t="s">
        <v>676</v>
      </c>
      <c r="I700" s="39" t="s">
        <v>677</v>
      </c>
      <c r="J700" s="39" t="s">
        <v>709</v>
      </c>
      <c r="K700" s="39" t="s">
        <v>710</v>
      </c>
      <c r="L700" s="39" t="s">
        <v>695</v>
      </c>
      <c r="M700" s="39">
        <v>0.6</v>
      </c>
      <c r="N700" s="43"/>
    </row>
    <row r="701" customHeight="1" spans="1:14">
      <c r="A701" s="40">
        <v>341</v>
      </c>
      <c r="B701" s="41" t="s">
        <v>1687</v>
      </c>
      <c r="C701" s="41" t="s">
        <v>691</v>
      </c>
      <c r="D701" s="41" t="s">
        <v>646</v>
      </c>
      <c r="E701" s="41" t="s">
        <v>657</v>
      </c>
      <c r="F701" s="41" t="s">
        <v>1688</v>
      </c>
      <c r="G701" s="41" t="s">
        <v>652</v>
      </c>
      <c r="H701" s="41" t="s">
        <v>718</v>
      </c>
      <c r="I701" s="41" t="s">
        <v>677</v>
      </c>
      <c r="J701" s="41" t="s">
        <v>678</v>
      </c>
      <c r="K701" s="41" t="s">
        <v>710</v>
      </c>
      <c r="L701" s="41" t="s">
        <v>695</v>
      </c>
      <c r="M701" s="41">
        <v>0.6</v>
      </c>
      <c r="N701" s="44"/>
    </row>
    <row r="702" customHeight="1" spans="1:14">
      <c r="A702" s="38">
        <v>342</v>
      </c>
      <c r="B702" s="39" t="s">
        <v>723</v>
      </c>
      <c r="C702" s="39" t="s">
        <v>691</v>
      </c>
      <c r="D702" s="39" t="s">
        <v>646</v>
      </c>
      <c r="E702" s="39" t="s">
        <v>658</v>
      </c>
      <c r="F702" s="39" t="s">
        <v>1689</v>
      </c>
      <c r="G702" s="39" t="s">
        <v>654</v>
      </c>
      <c r="H702" s="39" t="s">
        <v>683</v>
      </c>
      <c r="I702" s="39" t="s">
        <v>693</v>
      </c>
      <c r="J702" s="39" t="s">
        <v>678</v>
      </c>
      <c r="K702" s="39" t="s">
        <v>701</v>
      </c>
      <c r="L702" s="39" t="s">
        <v>680</v>
      </c>
      <c r="M702" s="39">
        <v>0.9</v>
      </c>
      <c r="N702" s="43"/>
    </row>
    <row r="703" customHeight="1" spans="1:14">
      <c r="A703" s="40">
        <v>343</v>
      </c>
      <c r="B703" s="41" t="s">
        <v>950</v>
      </c>
      <c r="C703" s="41" t="s">
        <v>691</v>
      </c>
      <c r="D703" s="41" t="s">
        <v>641</v>
      </c>
      <c r="E703" s="41" t="s">
        <v>658</v>
      </c>
      <c r="F703" s="41" t="s">
        <v>1690</v>
      </c>
      <c r="G703" s="41" t="s">
        <v>655</v>
      </c>
      <c r="H703" s="41" t="s">
        <v>687</v>
      </c>
      <c r="I703" s="41" t="s">
        <v>700</v>
      </c>
      <c r="J703" s="41" t="s">
        <v>678</v>
      </c>
      <c r="K703" s="41" t="s">
        <v>732</v>
      </c>
      <c r="L703" s="41" t="s">
        <v>680</v>
      </c>
      <c r="M703" s="41">
        <v>0.9</v>
      </c>
      <c r="N703" s="44"/>
    </row>
    <row r="704" customHeight="1" spans="1:14">
      <c r="A704" s="38">
        <v>344</v>
      </c>
      <c r="B704" s="39" t="s">
        <v>841</v>
      </c>
      <c r="C704" s="39" t="s">
        <v>691</v>
      </c>
      <c r="D704" s="39" t="s">
        <v>641</v>
      </c>
      <c r="E704" s="39" t="s">
        <v>658</v>
      </c>
      <c r="F704" s="39" t="s">
        <v>1691</v>
      </c>
      <c r="G704" s="39" t="s">
        <v>654</v>
      </c>
      <c r="H704" s="39" t="s">
        <v>727</v>
      </c>
      <c r="I704" s="39" t="s">
        <v>708</v>
      </c>
      <c r="J704" s="39" t="s">
        <v>678</v>
      </c>
      <c r="K704" s="39" t="s">
        <v>710</v>
      </c>
      <c r="L704" s="39" t="s">
        <v>743</v>
      </c>
      <c r="M704" s="39">
        <v>0</v>
      </c>
      <c r="N704" s="43"/>
    </row>
    <row r="705" customHeight="1" spans="1:14">
      <c r="A705" s="40">
        <v>345</v>
      </c>
      <c r="B705" s="41" t="s">
        <v>911</v>
      </c>
      <c r="C705" s="41" t="s">
        <v>674</v>
      </c>
      <c r="D705" s="41" t="s">
        <v>647</v>
      </c>
      <c r="E705" s="41" t="s">
        <v>658</v>
      </c>
      <c r="F705" s="41" t="s">
        <v>1692</v>
      </c>
      <c r="G705" s="41" t="s">
        <v>654</v>
      </c>
      <c r="H705" s="41" t="s">
        <v>718</v>
      </c>
      <c r="I705" s="41" t="s">
        <v>708</v>
      </c>
      <c r="J705" s="41" t="s">
        <v>678</v>
      </c>
      <c r="K705" s="41" t="s">
        <v>694</v>
      </c>
      <c r="L705" s="41" t="s">
        <v>743</v>
      </c>
      <c r="M705" s="41">
        <v>0</v>
      </c>
      <c r="N705" s="44"/>
    </row>
    <row r="706" customHeight="1" spans="1:14">
      <c r="A706" s="38">
        <v>346</v>
      </c>
      <c r="B706" s="39" t="s">
        <v>1654</v>
      </c>
      <c r="C706" s="39" t="s">
        <v>691</v>
      </c>
      <c r="D706" s="39" t="s">
        <v>647</v>
      </c>
      <c r="E706" s="39" t="s">
        <v>658</v>
      </c>
      <c r="F706" s="39" t="s">
        <v>1693</v>
      </c>
      <c r="G706" s="39" t="s">
        <v>653</v>
      </c>
      <c r="H706" s="39" t="s">
        <v>718</v>
      </c>
      <c r="I706" s="39" t="s">
        <v>688</v>
      </c>
      <c r="J706" s="39" t="s">
        <v>709</v>
      </c>
      <c r="K706" s="39" t="s">
        <v>694</v>
      </c>
      <c r="L706" s="39" t="s">
        <v>695</v>
      </c>
      <c r="M706" s="39">
        <v>0.6</v>
      </c>
      <c r="N706" s="43"/>
    </row>
    <row r="707" customHeight="1" spans="1:14">
      <c r="A707" s="40">
        <v>347</v>
      </c>
      <c r="B707" s="41" t="s">
        <v>898</v>
      </c>
      <c r="C707" s="41" t="s">
        <v>691</v>
      </c>
      <c r="D707" s="41" t="s">
        <v>642</v>
      </c>
      <c r="E707" s="41" t="s">
        <v>658</v>
      </c>
      <c r="F707" s="41" t="s">
        <v>1694</v>
      </c>
      <c r="G707" s="41" t="s">
        <v>653</v>
      </c>
      <c r="H707" s="41" t="s">
        <v>727</v>
      </c>
      <c r="I707" s="41" t="s">
        <v>688</v>
      </c>
      <c r="J707" s="41" t="s">
        <v>709</v>
      </c>
      <c r="K707" s="41" t="s">
        <v>689</v>
      </c>
      <c r="L707" s="41" t="s">
        <v>680</v>
      </c>
      <c r="M707" s="41">
        <v>0.9</v>
      </c>
      <c r="N707" s="44"/>
    </row>
    <row r="708" customHeight="1" spans="1:14">
      <c r="A708" s="38">
        <v>348</v>
      </c>
      <c r="B708" s="39" t="s">
        <v>1323</v>
      </c>
      <c r="C708" s="39" t="s">
        <v>691</v>
      </c>
      <c r="D708" s="39" t="s">
        <v>644</v>
      </c>
      <c r="E708" s="39" t="s">
        <v>657</v>
      </c>
      <c r="F708" s="39" t="s">
        <v>1695</v>
      </c>
      <c r="G708" s="39" t="s">
        <v>654</v>
      </c>
      <c r="H708" s="39" t="s">
        <v>687</v>
      </c>
      <c r="I708" s="39" t="s">
        <v>688</v>
      </c>
      <c r="J708" s="39" t="s">
        <v>678</v>
      </c>
      <c r="K708" s="39" t="s">
        <v>689</v>
      </c>
      <c r="L708" s="39" t="s">
        <v>684</v>
      </c>
      <c r="M708" s="39">
        <v>0.85</v>
      </c>
      <c r="N708" s="43"/>
    </row>
    <row r="709" customHeight="1" spans="1:14">
      <c r="A709" s="40">
        <v>349</v>
      </c>
      <c r="B709" s="41" t="s">
        <v>1032</v>
      </c>
      <c r="C709" s="41" t="s">
        <v>691</v>
      </c>
      <c r="D709" s="41" t="s">
        <v>645</v>
      </c>
      <c r="E709" s="41" t="s">
        <v>658</v>
      </c>
      <c r="F709" s="41" t="s">
        <v>1696</v>
      </c>
      <c r="G709" s="41" t="s">
        <v>654</v>
      </c>
      <c r="H709" s="41" t="s">
        <v>727</v>
      </c>
      <c r="I709" s="41" t="s">
        <v>688</v>
      </c>
      <c r="J709" s="41" t="s">
        <v>678</v>
      </c>
      <c r="K709" s="41" t="s">
        <v>701</v>
      </c>
      <c r="L709" s="41" t="s">
        <v>743</v>
      </c>
      <c r="M709" s="41">
        <v>0</v>
      </c>
      <c r="N709" s="44"/>
    </row>
    <row r="710" customHeight="1" spans="1:14">
      <c r="A710" s="38">
        <v>350</v>
      </c>
      <c r="B710" s="39" t="s">
        <v>1267</v>
      </c>
      <c r="C710" s="39" t="s">
        <v>691</v>
      </c>
      <c r="D710" s="39" t="s">
        <v>639</v>
      </c>
      <c r="E710" s="39" t="s">
        <v>658</v>
      </c>
      <c r="F710" s="39" t="s">
        <v>1697</v>
      </c>
      <c r="G710" s="39" t="s">
        <v>653</v>
      </c>
      <c r="H710" s="39" t="s">
        <v>718</v>
      </c>
      <c r="I710" s="39" t="s">
        <v>677</v>
      </c>
      <c r="J710" s="39" t="s">
        <v>678</v>
      </c>
      <c r="K710" s="39" t="s">
        <v>694</v>
      </c>
      <c r="L710" s="39" t="s">
        <v>719</v>
      </c>
      <c r="M710" s="39">
        <v>0</v>
      </c>
      <c r="N710" s="43"/>
    </row>
    <row r="711" customHeight="1" spans="1:14">
      <c r="A711" s="40">
        <v>351</v>
      </c>
      <c r="B711" s="41" t="s">
        <v>1698</v>
      </c>
      <c r="C711" s="41" t="s">
        <v>691</v>
      </c>
      <c r="D711" s="41" t="s">
        <v>641</v>
      </c>
      <c r="E711" s="41" t="s">
        <v>658</v>
      </c>
      <c r="F711" s="41" t="s">
        <v>1699</v>
      </c>
      <c r="G711" s="41" t="s">
        <v>653</v>
      </c>
      <c r="H711" s="41" t="s">
        <v>727</v>
      </c>
      <c r="I711" s="41" t="s">
        <v>700</v>
      </c>
      <c r="J711" s="41" t="s">
        <v>709</v>
      </c>
      <c r="K711" s="41" t="s">
        <v>679</v>
      </c>
      <c r="L711" s="41" t="s">
        <v>684</v>
      </c>
      <c r="M711" s="41">
        <v>0.85</v>
      </c>
      <c r="N711" s="44"/>
    </row>
    <row r="712" customHeight="1" spans="1:14">
      <c r="A712" s="38">
        <v>352</v>
      </c>
      <c r="B712" s="39" t="s">
        <v>1029</v>
      </c>
      <c r="C712" s="39" t="s">
        <v>691</v>
      </c>
      <c r="D712" s="39" t="s">
        <v>647</v>
      </c>
      <c r="E712" s="39" t="s">
        <v>658</v>
      </c>
      <c r="F712" s="39" t="s">
        <v>1700</v>
      </c>
      <c r="G712" s="39" t="s">
        <v>655</v>
      </c>
      <c r="H712" s="39" t="s">
        <v>707</v>
      </c>
      <c r="I712" s="39" t="s">
        <v>677</v>
      </c>
      <c r="J712" s="39" t="s">
        <v>709</v>
      </c>
      <c r="K712" s="39" t="s">
        <v>689</v>
      </c>
      <c r="L712" s="39" t="s">
        <v>743</v>
      </c>
      <c r="M712" s="39">
        <v>0</v>
      </c>
      <c r="N712" s="43"/>
    </row>
    <row r="713" customHeight="1" spans="1:14">
      <c r="A713" s="40">
        <v>353</v>
      </c>
      <c r="B713" s="41" t="s">
        <v>1327</v>
      </c>
      <c r="C713" s="41" t="s">
        <v>691</v>
      </c>
      <c r="D713" s="41" t="s">
        <v>641</v>
      </c>
      <c r="E713" s="41" t="s">
        <v>657</v>
      </c>
      <c r="F713" s="41" t="s">
        <v>1701</v>
      </c>
      <c r="G713" s="41" t="s">
        <v>652</v>
      </c>
      <c r="H713" s="41" t="s">
        <v>727</v>
      </c>
      <c r="I713" s="41" t="s">
        <v>708</v>
      </c>
      <c r="J713" s="41" t="s">
        <v>709</v>
      </c>
      <c r="K713" s="41" t="s">
        <v>679</v>
      </c>
      <c r="L713" s="41" t="s">
        <v>695</v>
      </c>
      <c r="M713" s="41">
        <v>0.6</v>
      </c>
      <c r="N713" s="44"/>
    </row>
    <row r="714" customHeight="1" spans="1:14">
      <c r="A714" s="38">
        <v>354</v>
      </c>
      <c r="B714" s="39" t="s">
        <v>944</v>
      </c>
      <c r="C714" s="39" t="s">
        <v>674</v>
      </c>
      <c r="D714" s="39" t="s">
        <v>642</v>
      </c>
      <c r="E714" s="39" t="s">
        <v>657</v>
      </c>
      <c r="F714" s="39" t="s">
        <v>1702</v>
      </c>
      <c r="G714" s="39" t="s">
        <v>653</v>
      </c>
      <c r="H714" s="39" t="s">
        <v>707</v>
      </c>
      <c r="I714" s="39" t="s">
        <v>677</v>
      </c>
      <c r="J714" s="39" t="s">
        <v>678</v>
      </c>
      <c r="K714" s="39" t="s">
        <v>710</v>
      </c>
      <c r="L714" s="39" t="s">
        <v>695</v>
      </c>
      <c r="M714" s="39">
        <v>0.6</v>
      </c>
      <c r="N714" s="43"/>
    </row>
    <row r="715" customHeight="1" spans="1:14">
      <c r="A715" s="40">
        <v>355</v>
      </c>
      <c r="B715" s="41" t="s">
        <v>713</v>
      </c>
      <c r="C715" s="41" t="s">
        <v>691</v>
      </c>
      <c r="D715" s="41" t="s">
        <v>647</v>
      </c>
      <c r="E715" s="41" t="s">
        <v>658</v>
      </c>
      <c r="F715" s="41" t="s">
        <v>1703</v>
      </c>
      <c r="G715" s="41" t="s">
        <v>655</v>
      </c>
      <c r="H715" s="41" t="s">
        <v>676</v>
      </c>
      <c r="I715" s="41" t="s">
        <v>700</v>
      </c>
      <c r="J715" s="41" t="s">
        <v>709</v>
      </c>
      <c r="K715" s="41" t="s">
        <v>732</v>
      </c>
      <c r="L715" s="41" t="s">
        <v>719</v>
      </c>
      <c r="M715" s="41">
        <v>0</v>
      </c>
      <c r="N715" s="44"/>
    </row>
    <row r="716" customHeight="1" spans="1:14">
      <c r="A716" s="38">
        <v>356</v>
      </c>
      <c r="B716" s="39" t="s">
        <v>929</v>
      </c>
      <c r="C716" s="39" t="s">
        <v>691</v>
      </c>
      <c r="D716" s="39" t="s">
        <v>646</v>
      </c>
      <c r="E716" s="39" t="s">
        <v>658</v>
      </c>
      <c r="F716" s="39" t="s">
        <v>1704</v>
      </c>
      <c r="G716" s="39" t="s">
        <v>653</v>
      </c>
      <c r="H716" s="39" t="s">
        <v>707</v>
      </c>
      <c r="I716" s="39" t="s">
        <v>693</v>
      </c>
      <c r="J716" s="39" t="s">
        <v>678</v>
      </c>
      <c r="K716" s="39" t="s">
        <v>694</v>
      </c>
      <c r="L716" s="39" t="s">
        <v>715</v>
      </c>
      <c r="M716" s="39">
        <v>0</v>
      </c>
      <c r="N716" s="43"/>
    </row>
    <row r="717" customHeight="1" spans="1:14">
      <c r="A717" s="40">
        <v>357</v>
      </c>
      <c r="B717" s="41" t="s">
        <v>1687</v>
      </c>
      <c r="C717" s="41" t="s">
        <v>691</v>
      </c>
      <c r="D717" s="41" t="s">
        <v>646</v>
      </c>
      <c r="E717" s="41" t="s">
        <v>657</v>
      </c>
      <c r="F717" s="41" t="s">
        <v>1705</v>
      </c>
      <c r="G717" s="41" t="s">
        <v>655</v>
      </c>
      <c r="H717" s="41" t="s">
        <v>722</v>
      </c>
      <c r="I717" s="41" t="s">
        <v>688</v>
      </c>
      <c r="J717" s="41" t="s">
        <v>678</v>
      </c>
      <c r="K717" s="41" t="s">
        <v>689</v>
      </c>
      <c r="L717" s="41" t="s">
        <v>743</v>
      </c>
      <c r="M717" s="41">
        <v>0</v>
      </c>
      <c r="N717" s="44"/>
    </row>
    <row r="718" customHeight="1" spans="1:14">
      <c r="A718" s="38">
        <v>358</v>
      </c>
      <c r="B718" s="39" t="s">
        <v>796</v>
      </c>
      <c r="C718" s="39" t="s">
        <v>674</v>
      </c>
      <c r="D718" s="39" t="s">
        <v>647</v>
      </c>
      <c r="E718" s="39" t="s">
        <v>658</v>
      </c>
      <c r="F718" s="39" t="s">
        <v>1706</v>
      </c>
      <c r="G718" s="39" t="s">
        <v>654</v>
      </c>
      <c r="H718" s="39" t="s">
        <v>727</v>
      </c>
      <c r="I718" s="39" t="s">
        <v>708</v>
      </c>
      <c r="J718" s="39" t="s">
        <v>678</v>
      </c>
      <c r="K718" s="39" t="s">
        <v>710</v>
      </c>
      <c r="L718" s="39" t="s">
        <v>743</v>
      </c>
      <c r="M718" s="39">
        <v>0</v>
      </c>
      <c r="N718" s="43"/>
    </row>
    <row r="719" customHeight="1" spans="1:14">
      <c r="A719" s="40">
        <v>359</v>
      </c>
      <c r="B719" s="41" t="s">
        <v>728</v>
      </c>
      <c r="C719" s="41" t="s">
        <v>691</v>
      </c>
      <c r="D719" s="41" t="s">
        <v>641</v>
      </c>
      <c r="E719" s="41" t="s">
        <v>657</v>
      </c>
      <c r="F719" s="41" t="s">
        <v>1707</v>
      </c>
      <c r="G719" s="41" t="s">
        <v>654</v>
      </c>
      <c r="H719" s="41" t="s">
        <v>676</v>
      </c>
      <c r="I719" s="41" t="s">
        <v>688</v>
      </c>
      <c r="J719" s="41" t="s">
        <v>678</v>
      </c>
      <c r="K719" s="41" t="s">
        <v>679</v>
      </c>
      <c r="L719" s="41" t="s">
        <v>684</v>
      </c>
      <c r="M719" s="41">
        <v>0.85</v>
      </c>
      <c r="N719" s="44"/>
    </row>
    <row r="720" customHeight="1" spans="1:14">
      <c r="A720" s="38">
        <v>360</v>
      </c>
      <c r="B720" s="39" t="s">
        <v>1186</v>
      </c>
      <c r="C720" s="39" t="s">
        <v>691</v>
      </c>
      <c r="D720" s="39" t="s">
        <v>642</v>
      </c>
      <c r="E720" s="39" t="s">
        <v>658</v>
      </c>
      <c r="F720" s="39" t="s">
        <v>1708</v>
      </c>
      <c r="G720" s="39" t="s">
        <v>652</v>
      </c>
      <c r="H720" s="39" t="s">
        <v>676</v>
      </c>
      <c r="I720" s="39" t="s">
        <v>708</v>
      </c>
      <c r="J720" s="39" t="s">
        <v>709</v>
      </c>
      <c r="K720" s="39" t="s">
        <v>701</v>
      </c>
      <c r="L720" s="39" t="s">
        <v>715</v>
      </c>
      <c r="M720" s="39">
        <v>0</v>
      </c>
      <c r="N720" s="43"/>
    </row>
    <row r="721" customHeight="1" spans="1:14">
      <c r="A721" s="40">
        <v>361</v>
      </c>
      <c r="B721" s="41" t="s">
        <v>1367</v>
      </c>
      <c r="C721" s="41" t="s">
        <v>691</v>
      </c>
      <c r="D721" s="41" t="s">
        <v>644</v>
      </c>
      <c r="E721" s="41" t="s">
        <v>658</v>
      </c>
      <c r="F721" s="41" t="s">
        <v>1709</v>
      </c>
      <c r="G721" s="41" t="s">
        <v>653</v>
      </c>
      <c r="H721" s="41" t="s">
        <v>687</v>
      </c>
      <c r="I721" s="41" t="s">
        <v>677</v>
      </c>
      <c r="J721" s="41" t="s">
        <v>678</v>
      </c>
      <c r="K721" s="41" t="s">
        <v>679</v>
      </c>
      <c r="L721" s="41" t="s">
        <v>715</v>
      </c>
      <c r="M721" s="41">
        <v>0</v>
      </c>
      <c r="N721" s="44"/>
    </row>
    <row r="722" customHeight="1" spans="1:14">
      <c r="A722" s="38">
        <v>362</v>
      </c>
      <c r="B722" s="39" t="s">
        <v>986</v>
      </c>
      <c r="C722" s="39" t="s">
        <v>691</v>
      </c>
      <c r="D722" s="39" t="s">
        <v>647</v>
      </c>
      <c r="E722" s="39" t="s">
        <v>658</v>
      </c>
      <c r="F722" s="39" t="s">
        <v>1710</v>
      </c>
      <c r="G722" s="39" t="s">
        <v>653</v>
      </c>
      <c r="H722" s="39" t="s">
        <v>676</v>
      </c>
      <c r="I722" s="39" t="s">
        <v>700</v>
      </c>
      <c r="J722" s="39" t="s">
        <v>678</v>
      </c>
      <c r="K722" s="39" t="s">
        <v>701</v>
      </c>
      <c r="L722" s="39" t="s">
        <v>719</v>
      </c>
      <c r="M722" s="39">
        <v>0</v>
      </c>
      <c r="N722" s="43"/>
    </row>
    <row r="723" customHeight="1" spans="1:14">
      <c r="A723" s="40">
        <v>363</v>
      </c>
      <c r="B723" s="41" t="s">
        <v>1118</v>
      </c>
      <c r="C723" s="41" t="s">
        <v>691</v>
      </c>
      <c r="D723" s="41" t="s">
        <v>640</v>
      </c>
      <c r="E723" s="41" t="s">
        <v>658</v>
      </c>
      <c r="F723" s="41" t="s">
        <v>1711</v>
      </c>
      <c r="G723" s="41" t="s">
        <v>653</v>
      </c>
      <c r="H723" s="41" t="s">
        <v>676</v>
      </c>
      <c r="I723" s="41" t="s">
        <v>708</v>
      </c>
      <c r="J723" s="41" t="s">
        <v>709</v>
      </c>
      <c r="K723" s="41" t="s">
        <v>679</v>
      </c>
      <c r="L723" s="41" t="s">
        <v>695</v>
      </c>
      <c r="M723" s="41">
        <v>0.6</v>
      </c>
      <c r="N723" s="44"/>
    </row>
    <row r="724" customHeight="1" spans="1:14">
      <c r="A724" s="38">
        <v>364</v>
      </c>
      <c r="B724" s="39" t="s">
        <v>1712</v>
      </c>
      <c r="C724" s="39" t="s">
        <v>703</v>
      </c>
      <c r="D724" s="39" t="s">
        <v>646</v>
      </c>
      <c r="E724" s="39" t="s">
        <v>658</v>
      </c>
      <c r="F724" s="39" t="s">
        <v>1713</v>
      </c>
      <c r="G724" s="39" t="s">
        <v>653</v>
      </c>
      <c r="H724" s="39" t="s">
        <v>722</v>
      </c>
      <c r="I724" s="39" t="s">
        <v>708</v>
      </c>
      <c r="J724" s="39" t="s">
        <v>709</v>
      </c>
      <c r="K724" s="39" t="s">
        <v>732</v>
      </c>
      <c r="L724" s="39" t="s">
        <v>680</v>
      </c>
      <c r="M724" s="39">
        <v>0.9</v>
      </c>
      <c r="N724" s="43"/>
    </row>
    <row r="725" customHeight="1" spans="1:14">
      <c r="A725" s="40">
        <v>365</v>
      </c>
      <c r="B725" s="41" t="s">
        <v>1452</v>
      </c>
      <c r="C725" s="41" t="s">
        <v>691</v>
      </c>
      <c r="D725" s="41" t="s">
        <v>647</v>
      </c>
      <c r="E725" s="41" t="s">
        <v>658</v>
      </c>
      <c r="F725" s="41" t="s">
        <v>1714</v>
      </c>
      <c r="G725" s="41" t="s">
        <v>656</v>
      </c>
      <c r="H725" s="41" t="s">
        <v>676</v>
      </c>
      <c r="I725" s="41" t="s">
        <v>700</v>
      </c>
      <c r="J725" s="41" t="s">
        <v>709</v>
      </c>
      <c r="K725" s="41" t="s">
        <v>689</v>
      </c>
      <c r="L725" s="41" t="s">
        <v>743</v>
      </c>
      <c r="M725" s="41">
        <v>0</v>
      </c>
      <c r="N725" s="44"/>
    </row>
    <row r="726" customHeight="1" spans="1:14">
      <c r="A726" s="38">
        <v>366</v>
      </c>
      <c r="B726" s="39" t="s">
        <v>1715</v>
      </c>
      <c r="C726" s="39" t="s">
        <v>691</v>
      </c>
      <c r="D726" s="39" t="s">
        <v>645</v>
      </c>
      <c r="E726" s="39" t="s">
        <v>658</v>
      </c>
      <c r="F726" s="39" t="s">
        <v>1716</v>
      </c>
      <c r="G726" s="39" t="s">
        <v>656</v>
      </c>
      <c r="H726" s="39" t="s">
        <v>722</v>
      </c>
      <c r="I726" s="39" t="s">
        <v>677</v>
      </c>
      <c r="J726" s="39" t="s">
        <v>678</v>
      </c>
      <c r="K726" s="39" t="s">
        <v>694</v>
      </c>
      <c r="L726" s="39" t="s">
        <v>743</v>
      </c>
      <c r="M726" s="39">
        <v>0</v>
      </c>
      <c r="N726" s="43"/>
    </row>
    <row r="727" customHeight="1" spans="1:14">
      <c r="A727" s="40">
        <v>367</v>
      </c>
      <c r="B727" s="41" t="s">
        <v>834</v>
      </c>
      <c r="C727" s="41" t="s">
        <v>691</v>
      </c>
      <c r="D727" s="41" t="s">
        <v>649</v>
      </c>
      <c r="E727" s="41" t="s">
        <v>657</v>
      </c>
      <c r="F727" s="41" t="s">
        <v>1717</v>
      </c>
      <c r="G727" s="41" t="s">
        <v>653</v>
      </c>
      <c r="H727" s="41" t="s">
        <v>722</v>
      </c>
      <c r="I727" s="41" t="s">
        <v>693</v>
      </c>
      <c r="J727" s="41" t="s">
        <v>678</v>
      </c>
      <c r="K727" s="41" t="s">
        <v>694</v>
      </c>
      <c r="L727" s="41" t="s">
        <v>680</v>
      </c>
      <c r="M727" s="41">
        <v>0.9</v>
      </c>
      <c r="N727" s="44"/>
    </row>
    <row r="728" customHeight="1" spans="1:14">
      <c r="A728" s="38">
        <v>368</v>
      </c>
      <c r="B728" s="39" t="s">
        <v>1069</v>
      </c>
      <c r="C728" s="39" t="s">
        <v>674</v>
      </c>
      <c r="D728" s="39" t="s">
        <v>640</v>
      </c>
      <c r="E728" s="39" t="s">
        <v>658</v>
      </c>
      <c r="F728" s="39" t="s">
        <v>1718</v>
      </c>
      <c r="G728" s="39" t="s">
        <v>656</v>
      </c>
      <c r="H728" s="39" t="s">
        <v>718</v>
      </c>
      <c r="I728" s="39" t="s">
        <v>693</v>
      </c>
      <c r="J728" s="39" t="s">
        <v>678</v>
      </c>
      <c r="K728" s="39" t="s">
        <v>701</v>
      </c>
      <c r="L728" s="39" t="s">
        <v>743</v>
      </c>
      <c r="M728" s="39">
        <v>0</v>
      </c>
      <c r="N728" s="43"/>
    </row>
    <row r="729" customHeight="1" spans="1:14">
      <c r="A729" s="40">
        <v>369</v>
      </c>
      <c r="B729" s="41" t="s">
        <v>937</v>
      </c>
      <c r="C729" s="41" t="s">
        <v>691</v>
      </c>
      <c r="D729" s="41" t="s">
        <v>642</v>
      </c>
      <c r="E729" s="41" t="s">
        <v>658</v>
      </c>
      <c r="F729" s="41" t="s">
        <v>1719</v>
      </c>
      <c r="G729" s="41" t="s">
        <v>655</v>
      </c>
      <c r="H729" s="41" t="s">
        <v>722</v>
      </c>
      <c r="I729" s="41" t="s">
        <v>677</v>
      </c>
      <c r="J729" s="41" t="s">
        <v>678</v>
      </c>
      <c r="K729" s="41" t="s">
        <v>710</v>
      </c>
      <c r="L729" s="41" t="s">
        <v>680</v>
      </c>
      <c r="M729" s="41">
        <v>0.9</v>
      </c>
      <c r="N729" s="44"/>
    </row>
    <row r="730" customHeight="1" spans="1:14">
      <c r="A730" s="38">
        <v>370</v>
      </c>
      <c r="B730" s="39" t="s">
        <v>884</v>
      </c>
      <c r="C730" s="39" t="s">
        <v>674</v>
      </c>
      <c r="D730" s="39" t="s">
        <v>647</v>
      </c>
      <c r="E730" s="39" t="s">
        <v>651</v>
      </c>
      <c r="F730" s="39" t="s">
        <v>1720</v>
      </c>
      <c r="G730" s="39" t="s">
        <v>654</v>
      </c>
      <c r="H730" s="39" t="s">
        <v>683</v>
      </c>
      <c r="I730" s="39" t="s">
        <v>688</v>
      </c>
      <c r="J730" s="39" t="s">
        <v>678</v>
      </c>
      <c r="K730" s="39" t="s">
        <v>701</v>
      </c>
      <c r="L730" s="39" t="s">
        <v>743</v>
      </c>
      <c r="M730" s="39">
        <v>0</v>
      </c>
      <c r="N730" s="43"/>
    </row>
    <row r="731" customHeight="1" spans="1:14">
      <c r="A731" s="40">
        <v>371</v>
      </c>
      <c r="B731" s="41" t="s">
        <v>685</v>
      </c>
      <c r="C731" s="41" t="s">
        <v>674</v>
      </c>
      <c r="D731" s="41" t="s">
        <v>645</v>
      </c>
      <c r="E731" s="41" t="s">
        <v>651</v>
      </c>
      <c r="F731" s="41" t="s">
        <v>1721</v>
      </c>
      <c r="G731" s="41" t="s">
        <v>652</v>
      </c>
      <c r="H731" s="41" t="s">
        <v>687</v>
      </c>
      <c r="I731" s="41" t="s">
        <v>700</v>
      </c>
      <c r="J731" s="41" t="s">
        <v>709</v>
      </c>
      <c r="K731" s="41" t="s">
        <v>689</v>
      </c>
      <c r="L731" s="41" t="s">
        <v>680</v>
      </c>
      <c r="M731" s="41">
        <v>0.9</v>
      </c>
      <c r="N731" s="44"/>
    </row>
    <row r="732" customHeight="1" spans="1:14">
      <c r="A732" s="38">
        <v>372</v>
      </c>
      <c r="B732" s="39" t="s">
        <v>1097</v>
      </c>
      <c r="C732" s="39" t="s">
        <v>691</v>
      </c>
      <c r="D732" s="39" t="s">
        <v>641</v>
      </c>
      <c r="E732" s="39" t="s">
        <v>657</v>
      </c>
      <c r="F732" s="39" t="s">
        <v>1722</v>
      </c>
      <c r="G732" s="39" t="s">
        <v>654</v>
      </c>
      <c r="H732" s="39" t="s">
        <v>722</v>
      </c>
      <c r="I732" s="39" t="s">
        <v>693</v>
      </c>
      <c r="J732" s="39" t="s">
        <v>678</v>
      </c>
      <c r="K732" s="39" t="s">
        <v>694</v>
      </c>
      <c r="L732" s="39" t="s">
        <v>715</v>
      </c>
      <c r="M732" s="39">
        <v>0</v>
      </c>
      <c r="N732" s="43"/>
    </row>
    <row r="733" customHeight="1" spans="1:14">
      <c r="A733" s="40">
        <v>373</v>
      </c>
      <c r="B733" s="41" t="s">
        <v>768</v>
      </c>
      <c r="C733" s="41" t="s">
        <v>674</v>
      </c>
      <c r="D733" s="41" t="s">
        <v>647</v>
      </c>
      <c r="E733" s="41" t="s">
        <v>657</v>
      </c>
      <c r="F733" s="41" t="s">
        <v>1723</v>
      </c>
      <c r="G733" s="41" t="s">
        <v>654</v>
      </c>
      <c r="H733" s="41" t="s">
        <v>718</v>
      </c>
      <c r="I733" s="41" t="s">
        <v>700</v>
      </c>
      <c r="J733" s="41" t="s">
        <v>678</v>
      </c>
      <c r="K733" s="41" t="s">
        <v>679</v>
      </c>
      <c r="L733" s="41" t="s">
        <v>684</v>
      </c>
      <c r="M733" s="41">
        <v>0.85</v>
      </c>
      <c r="N733" s="44"/>
    </row>
    <row r="734" customHeight="1" spans="1:14">
      <c r="A734" s="38">
        <v>374</v>
      </c>
      <c r="B734" s="39" t="s">
        <v>812</v>
      </c>
      <c r="C734" s="39" t="s">
        <v>691</v>
      </c>
      <c r="D734" s="39" t="s">
        <v>646</v>
      </c>
      <c r="E734" s="39" t="s">
        <v>658</v>
      </c>
      <c r="F734" s="39" t="s">
        <v>1724</v>
      </c>
      <c r="G734" s="39" t="s">
        <v>653</v>
      </c>
      <c r="H734" s="39" t="s">
        <v>676</v>
      </c>
      <c r="I734" s="39" t="s">
        <v>688</v>
      </c>
      <c r="J734" s="39" t="s">
        <v>709</v>
      </c>
      <c r="K734" s="39" t="s">
        <v>710</v>
      </c>
      <c r="L734" s="39" t="s">
        <v>719</v>
      </c>
      <c r="M734" s="39">
        <v>0</v>
      </c>
      <c r="N734" s="43"/>
    </row>
    <row r="735" customHeight="1" spans="1:14">
      <c r="A735" s="40">
        <v>375</v>
      </c>
      <c r="B735" s="41" t="s">
        <v>1040</v>
      </c>
      <c r="C735" s="41" t="s">
        <v>691</v>
      </c>
      <c r="D735" s="41" t="s">
        <v>647</v>
      </c>
      <c r="E735" s="41" t="s">
        <v>651</v>
      </c>
      <c r="F735" s="41" t="s">
        <v>1725</v>
      </c>
      <c r="G735" s="41" t="s">
        <v>655</v>
      </c>
      <c r="H735" s="41" t="s">
        <v>676</v>
      </c>
      <c r="I735" s="41" t="s">
        <v>693</v>
      </c>
      <c r="J735" s="41" t="s">
        <v>678</v>
      </c>
      <c r="K735" s="41" t="s">
        <v>732</v>
      </c>
      <c r="L735" s="41" t="s">
        <v>743</v>
      </c>
      <c r="M735" s="41">
        <v>0</v>
      </c>
      <c r="N735" s="44"/>
    </row>
    <row r="736" customHeight="1" spans="1:14">
      <c r="A736" s="38">
        <v>376</v>
      </c>
      <c r="B736" s="39" t="s">
        <v>1726</v>
      </c>
      <c r="C736" s="39" t="s">
        <v>674</v>
      </c>
      <c r="D736" s="39" t="s">
        <v>645</v>
      </c>
      <c r="E736" s="39" t="s">
        <v>658</v>
      </c>
      <c r="F736" s="39" t="s">
        <v>1727</v>
      </c>
      <c r="G736" s="39" t="s">
        <v>656</v>
      </c>
      <c r="H736" s="39" t="s">
        <v>722</v>
      </c>
      <c r="I736" s="39" t="s">
        <v>693</v>
      </c>
      <c r="J736" s="39" t="s">
        <v>709</v>
      </c>
      <c r="K736" s="39" t="s">
        <v>694</v>
      </c>
      <c r="L736" s="39" t="s">
        <v>743</v>
      </c>
      <c r="M736" s="39">
        <v>0</v>
      </c>
      <c r="N736" s="43"/>
    </row>
    <row r="737" customHeight="1" spans="1:14">
      <c r="A737" s="40">
        <v>377</v>
      </c>
      <c r="B737" s="41" t="s">
        <v>1728</v>
      </c>
      <c r="C737" s="41" t="s">
        <v>674</v>
      </c>
      <c r="D737" s="41" t="s">
        <v>647</v>
      </c>
      <c r="E737" s="41" t="s">
        <v>658</v>
      </c>
      <c r="F737" s="41" t="s">
        <v>1729</v>
      </c>
      <c r="G737" s="41" t="s">
        <v>655</v>
      </c>
      <c r="H737" s="41" t="s">
        <v>683</v>
      </c>
      <c r="I737" s="41" t="s">
        <v>708</v>
      </c>
      <c r="J737" s="41" t="s">
        <v>709</v>
      </c>
      <c r="K737" s="41" t="s">
        <v>694</v>
      </c>
      <c r="L737" s="41" t="s">
        <v>680</v>
      </c>
      <c r="M737" s="41">
        <v>0.9</v>
      </c>
      <c r="N737" s="44"/>
    </row>
    <row r="738" customHeight="1" spans="1:14">
      <c r="A738" s="38">
        <v>378</v>
      </c>
      <c r="B738" s="39" t="s">
        <v>1730</v>
      </c>
      <c r="C738" s="39" t="s">
        <v>691</v>
      </c>
      <c r="D738" s="39" t="s">
        <v>638</v>
      </c>
      <c r="E738" s="39" t="s">
        <v>651</v>
      </c>
      <c r="F738" s="39" t="s">
        <v>1731</v>
      </c>
      <c r="G738" s="39" t="s">
        <v>655</v>
      </c>
      <c r="H738" s="39" t="s">
        <v>687</v>
      </c>
      <c r="I738" s="39" t="s">
        <v>700</v>
      </c>
      <c r="J738" s="39" t="s">
        <v>709</v>
      </c>
      <c r="K738" s="39" t="s">
        <v>710</v>
      </c>
      <c r="L738" s="39" t="s">
        <v>715</v>
      </c>
      <c r="M738" s="39">
        <v>0</v>
      </c>
      <c r="N738" s="43"/>
    </row>
    <row r="739" customHeight="1" spans="1:14">
      <c r="A739" s="40">
        <v>379</v>
      </c>
      <c r="B739" s="41" t="s">
        <v>1610</v>
      </c>
      <c r="C739" s="41" t="s">
        <v>691</v>
      </c>
      <c r="D739" s="41" t="s">
        <v>638</v>
      </c>
      <c r="E739" s="41" t="s">
        <v>651</v>
      </c>
      <c r="F739" s="41" t="s">
        <v>1732</v>
      </c>
      <c r="G739" s="41" t="s">
        <v>652</v>
      </c>
      <c r="H739" s="41" t="s">
        <v>722</v>
      </c>
      <c r="I739" s="41" t="s">
        <v>700</v>
      </c>
      <c r="J739" s="41" t="s">
        <v>709</v>
      </c>
      <c r="K739" s="41" t="s">
        <v>732</v>
      </c>
      <c r="L739" s="41" t="s">
        <v>743</v>
      </c>
      <c r="M739" s="41">
        <v>0</v>
      </c>
      <c r="N739" s="44"/>
    </row>
    <row r="740" customHeight="1" spans="1:14">
      <c r="A740" s="38">
        <v>380</v>
      </c>
      <c r="B740" s="39" t="s">
        <v>696</v>
      </c>
      <c r="C740" s="39" t="s">
        <v>691</v>
      </c>
      <c r="D740" s="39" t="s">
        <v>644</v>
      </c>
      <c r="E740" s="39" t="s">
        <v>657</v>
      </c>
      <c r="F740" s="39" t="s">
        <v>1733</v>
      </c>
      <c r="G740" s="39" t="s">
        <v>654</v>
      </c>
      <c r="H740" s="39" t="s">
        <v>707</v>
      </c>
      <c r="I740" s="39" t="s">
        <v>700</v>
      </c>
      <c r="J740" s="39" t="s">
        <v>678</v>
      </c>
      <c r="K740" s="39" t="s">
        <v>679</v>
      </c>
      <c r="L740" s="39" t="s">
        <v>715</v>
      </c>
      <c r="M740" s="39">
        <v>0</v>
      </c>
      <c r="N740" s="43"/>
    </row>
    <row r="741" customHeight="1" spans="1:14">
      <c r="A741" s="40">
        <v>381</v>
      </c>
      <c r="B741" s="41" t="s">
        <v>1009</v>
      </c>
      <c r="C741" s="41" t="s">
        <v>691</v>
      </c>
      <c r="D741" s="41" t="s">
        <v>645</v>
      </c>
      <c r="E741" s="41" t="s">
        <v>657</v>
      </c>
      <c r="F741" s="41" t="s">
        <v>1734</v>
      </c>
      <c r="G741" s="41" t="s">
        <v>655</v>
      </c>
      <c r="H741" s="41" t="s">
        <v>727</v>
      </c>
      <c r="I741" s="41" t="s">
        <v>700</v>
      </c>
      <c r="J741" s="41" t="s">
        <v>709</v>
      </c>
      <c r="K741" s="41" t="s">
        <v>701</v>
      </c>
      <c r="L741" s="41" t="s">
        <v>743</v>
      </c>
      <c r="M741" s="41">
        <v>0</v>
      </c>
      <c r="N741" s="44"/>
    </row>
    <row r="742" customHeight="1" spans="1:14">
      <c r="A742" s="38">
        <v>382</v>
      </c>
      <c r="B742" s="39" t="s">
        <v>1080</v>
      </c>
      <c r="C742" s="39" t="s">
        <v>674</v>
      </c>
      <c r="D742" s="39" t="s">
        <v>646</v>
      </c>
      <c r="E742" s="39" t="s">
        <v>657</v>
      </c>
      <c r="F742" s="39" t="s">
        <v>1735</v>
      </c>
      <c r="G742" s="39" t="s">
        <v>652</v>
      </c>
      <c r="H742" s="39" t="s">
        <v>707</v>
      </c>
      <c r="I742" s="39" t="s">
        <v>688</v>
      </c>
      <c r="J742" s="39" t="s">
        <v>678</v>
      </c>
      <c r="K742" s="39" t="s">
        <v>701</v>
      </c>
      <c r="L742" s="39" t="s">
        <v>684</v>
      </c>
      <c r="M742" s="39">
        <v>0.85</v>
      </c>
      <c r="N742" s="43"/>
    </row>
    <row r="743" customHeight="1" spans="1:14">
      <c r="A743" s="40">
        <v>383</v>
      </c>
      <c r="B743" s="41" t="s">
        <v>1560</v>
      </c>
      <c r="C743" s="41" t="s">
        <v>691</v>
      </c>
      <c r="D743" s="41" t="s">
        <v>642</v>
      </c>
      <c r="E743" s="41" t="s">
        <v>658</v>
      </c>
      <c r="F743" s="41" t="s">
        <v>1736</v>
      </c>
      <c r="G743" s="41" t="s">
        <v>654</v>
      </c>
      <c r="H743" s="41" t="s">
        <v>722</v>
      </c>
      <c r="I743" s="41" t="s">
        <v>688</v>
      </c>
      <c r="J743" s="41" t="s">
        <v>678</v>
      </c>
      <c r="K743" s="41" t="s">
        <v>732</v>
      </c>
      <c r="L743" s="41" t="s">
        <v>695</v>
      </c>
      <c r="M743" s="41">
        <v>0.6</v>
      </c>
      <c r="N743" s="44"/>
    </row>
    <row r="744" customHeight="1" spans="1:14">
      <c r="A744" s="38">
        <v>384</v>
      </c>
      <c r="B744" s="39" t="s">
        <v>925</v>
      </c>
      <c r="C744" s="39" t="s">
        <v>674</v>
      </c>
      <c r="D744" s="39" t="s">
        <v>642</v>
      </c>
      <c r="E744" s="39" t="s">
        <v>658</v>
      </c>
      <c r="F744" s="39" t="s">
        <v>1737</v>
      </c>
      <c r="G744" s="39" t="s">
        <v>652</v>
      </c>
      <c r="H744" s="39" t="s">
        <v>687</v>
      </c>
      <c r="I744" s="39" t="s">
        <v>693</v>
      </c>
      <c r="J744" s="39" t="s">
        <v>709</v>
      </c>
      <c r="K744" s="39" t="s">
        <v>710</v>
      </c>
      <c r="L744" s="39" t="s">
        <v>743</v>
      </c>
      <c r="M744" s="39">
        <v>0</v>
      </c>
      <c r="N744" s="43"/>
    </row>
    <row r="745" customHeight="1" spans="1:14">
      <c r="A745" s="40">
        <v>385</v>
      </c>
      <c r="B745" s="41" t="s">
        <v>1738</v>
      </c>
      <c r="C745" s="41" t="s">
        <v>691</v>
      </c>
      <c r="D745" s="41" t="s">
        <v>648</v>
      </c>
      <c r="E745" s="41" t="s">
        <v>658</v>
      </c>
      <c r="F745" s="41" t="s">
        <v>1739</v>
      </c>
      <c r="G745" s="41" t="s">
        <v>655</v>
      </c>
      <c r="H745" s="41" t="s">
        <v>727</v>
      </c>
      <c r="I745" s="41" t="s">
        <v>700</v>
      </c>
      <c r="J745" s="41" t="s">
        <v>678</v>
      </c>
      <c r="K745" s="41" t="s">
        <v>710</v>
      </c>
      <c r="L745" s="41" t="s">
        <v>695</v>
      </c>
      <c r="M745" s="41">
        <v>0.6</v>
      </c>
      <c r="N745" s="44"/>
    </row>
    <row r="746" customHeight="1" spans="1:14">
      <c r="A746" s="38">
        <v>386</v>
      </c>
      <c r="B746" s="39" t="s">
        <v>1075</v>
      </c>
      <c r="C746" s="39" t="s">
        <v>691</v>
      </c>
      <c r="D746" s="39" t="s">
        <v>645</v>
      </c>
      <c r="E746" s="39" t="s">
        <v>651</v>
      </c>
      <c r="F746" s="39" t="s">
        <v>1740</v>
      </c>
      <c r="G746" s="39" t="s">
        <v>655</v>
      </c>
      <c r="H746" s="39" t="s">
        <v>683</v>
      </c>
      <c r="I746" s="39" t="s">
        <v>700</v>
      </c>
      <c r="J746" s="39" t="s">
        <v>678</v>
      </c>
      <c r="K746" s="39" t="s">
        <v>689</v>
      </c>
      <c r="L746" s="39" t="s">
        <v>715</v>
      </c>
      <c r="M746" s="39">
        <v>0</v>
      </c>
      <c r="N746" s="43"/>
    </row>
    <row r="747" customHeight="1" spans="1:14">
      <c r="A747" s="40">
        <v>387</v>
      </c>
      <c r="B747" s="41" t="s">
        <v>1213</v>
      </c>
      <c r="C747" s="41" t="s">
        <v>691</v>
      </c>
      <c r="D747" s="41" t="s">
        <v>642</v>
      </c>
      <c r="E747" s="41" t="s">
        <v>658</v>
      </c>
      <c r="F747" s="41" t="s">
        <v>1741</v>
      </c>
      <c r="G747" s="41" t="s">
        <v>656</v>
      </c>
      <c r="H747" s="41" t="s">
        <v>683</v>
      </c>
      <c r="I747" s="41" t="s">
        <v>700</v>
      </c>
      <c r="J747" s="41" t="s">
        <v>678</v>
      </c>
      <c r="K747" s="41" t="s">
        <v>694</v>
      </c>
      <c r="L747" s="41" t="s">
        <v>719</v>
      </c>
      <c r="M747" s="41">
        <v>0</v>
      </c>
      <c r="N747" s="44"/>
    </row>
    <row r="748" customHeight="1" spans="1:14">
      <c r="A748" s="38">
        <v>388</v>
      </c>
      <c r="B748" s="39" t="s">
        <v>1027</v>
      </c>
      <c r="C748" s="39" t="s">
        <v>691</v>
      </c>
      <c r="D748" s="39" t="s">
        <v>638</v>
      </c>
      <c r="E748" s="39" t="s">
        <v>657</v>
      </c>
      <c r="F748" s="39" t="s">
        <v>1742</v>
      </c>
      <c r="G748" s="39" t="s">
        <v>652</v>
      </c>
      <c r="H748" s="39" t="s">
        <v>683</v>
      </c>
      <c r="I748" s="39" t="s">
        <v>708</v>
      </c>
      <c r="J748" s="39" t="s">
        <v>678</v>
      </c>
      <c r="K748" s="39" t="s">
        <v>701</v>
      </c>
      <c r="L748" s="39" t="s">
        <v>684</v>
      </c>
      <c r="M748" s="39">
        <v>0.85</v>
      </c>
      <c r="N748" s="43"/>
    </row>
    <row r="749" customHeight="1" spans="1:14">
      <c r="A749" s="40">
        <v>389</v>
      </c>
      <c r="B749" s="41" t="s">
        <v>1743</v>
      </c>
      <c r="C749" s="41" t="s">
        <v>691</v>
      </c>
      <c r="D749" s="41" t="s">
        <v>641</v>
      </c>
      <c r="E749" s="41" t="s">
        <v>658</v>
      </c>
      <c r="F749" s="41" t="s">
        <v>1744</v>
      </c>
      <c r="G749" s="41" t="s">
        <v>655</v>
      </c>
      <c r="H749" s="41" t="s">
        <v>683</v>
      </c>
      <c r="I749" s="41" t="s">
        <v>688</v>
      </c>
      <c r="J749" s="41" t="s">
        <v>678</v>
      </c>
      <c r="K749" s="41" t="s">
        <v>701</v>
      </c>
      <c r="L749" s="41" t="s">
        <v>695</v>
      </c>
      <c r="M749" s="41">
        <v>0.6</v>
      </c>
      <c r="N749" s="44"/>
    </row>
    <row r="750" customHeight="1" spans="1:14">
      <c r="A750" s="38">
        <v>390</v>
      </c>
      <c r="B750" s="39" t="s">
        <v>1745</v>
      </c>
      <c r="C750" s="39" t="s">
        <v>691</v>
      </c>
      <c r="D750" s="39" t="s">
        <v>648</v>
      </c>
      <c r="E750" s="39" t="s">
        <v>658</v>
      </c>
      <c r="F750" s="39" t="s">
        <v>1746</v>
      </c>
      <c r="G750" s="39" t="s">
        <v>652</v>
      </c>
      <c r="H750" s="39" t="s">
        <v>718</v>
      </c>
      <c r="I750" s="39" t="s">
        <v>700</v>
      </c>
      <c r="J750" s="39" t="s">
        <v>709</v>
      </c>
      <c r="K750" s="39" t="s">
        <v>701</v>
      </c>
      <c r="L750" s="39" t="s">
        <v>715</v>
      </c>
      <c r="M750" s="39">
        <v>0</v>
      </c>
      <c r="N750" s="43"/>
    </row>
    <row r="751" customHeight="1" spans="1:14">
      <c r="A751" s="40">
        <v>391</v>
      </c>
      <c r="B751" s="41" t="s">
        <v>1176</v>
      </c>
      <c r="C751" s="41" t="s">
        <v>691</v>
      </c>
      <c r="D751" s="41" t="s">
        <v>644</v>
      </c>
      <c r="E751" s="41" t="s">
        <v>658</v>
      </c>
      <c r="F751" s="41" t="s">
        <v>1747</v>
      </c>
      <c r="G751" s="41" t="s">
        <v>653</v>
      </c>
      <c r="H751" s="41" t="s">
        <v>722</v>
      </c>
      <c r="I751" s="41" t="s">
        <v>708</v>
      </c>
      <c r="J751" s="41" t="s">
        <v>709</v>
      </c>
      <c r="K751" s="41" t="s">
        <v>689</v>
      </c>
      <c r="L751" s="41" t="s">
        <v>715</v>
      </c>
      <c r="M751" s="41">
        <v>0</v>
      </c>
      <c r="N751" s="44"/>
    </row>
    <row r="752" customHeight="1" spans="1:14">
      <c r="A752" s="38">
        <v>392</v>
      </c>
      <c r="B752" s="39" t="s">
        <v>1748</v>
      </c>
      <c r="C752" s="39" t="s">
        <v>691</v>
      </c>
      <c r="D752" s="39" t="s">
        <v>639</v>
      </c>
      <c r="E752" s="39" t="s">
        <v>658</v>
      </c>
      <c r="F752" s="39" t="s">
        <v>1749</v>
      </c>
      <c r="G752" s="39" t="s">
        <v>655</v>
      </c>
      <c r="H752" s="39" t="s">
        <v>727</v>
      </c>
      <c r="I752" s="39" t="s">
        <v>700</v>
      </c>
      <c r="J752" s="39" t="s">
        <v>709</v>
      </c>
      <c r="K752" s="39" t="s">
        <v>732</v>
      </c>
      <c r="L752" s="39" t="s">
        <v>695</v>
      </c>
      <c r="M752" s="39">
        <v>0.6</v>
      </c>
      <c r="N752" s="43"/>
    </row>
    <row r="753" customHeight="1" spans="1:14">
      <c r="A753" s="40">
        <v>393</v>
      </c>
      <c r="B753" s="41" t="s">
        <v>1486</v>
      </c>
      <c r="C753" s="41" t="s">
        <v>691</v>
      </c>
      <c r="D753" s="41" t="s">
        <v>642</v>
      </c>
      <c r="E753" s="41" t="s">
        <v>657</v>
      </c>
      <c r="F753" s="41" t="s">
        <v>1750</v>
      </c>
      <c r="G753" s="41" t="s">
        <v>652</v>
      </c>
      <c r="H753" s="41" t="s">
        <v>683</v>
      </c>
      <c r="I753" s="41" t="s">
        <v>693</v>
      </c>
      <c r="J753" s="41" t="s">
        <v>678</v>
      </c>
      <c r="K753" s="41" t="s">
        <v>732</v>
      </c>
      <c r="L753" s="41" t="s">
        <v>695</v>
      </c>
      <c r="M753" s="41">
        <v>0.6</v>
      </c>
      <c r="N753" s="44"/>
    </row>
    <row r="754" customHeight="1" spans="1:14">
      <c r="A754" s="38">
        <v>394</v>
      </c>
      <c r="B754" s="39" t="s">
        <v>1156</v>
      </c>
      <c r="C754" s="39" t="s">
        <v>674</v>
      </c>
      <c r="D754" s="39" t="s">
        <v>645</v>
      </c>
      <c r="E754" s="39" t="s">
        <v>658</v>
      </c>
      <c r="F754" s="39" t="s">
        <v>1751</v>
      </c>
      <c r="G754" s="39" t="s">
        <v>654</v>
      </c>
      <c r="H754" s="39" t="s">
        <v>683</v>
      </c>
      <c r="I754" s="39" t="s">
        <v>693</v>
      </c>
      <c r="J754" s="39" t="s">
        <v>678</v>
      </c>
      <c r="K754" s="39" t="s">
        <v>689</v>
      </c>
      <c r="L754" s="39" t="s">
        <v>743</v>
      </c>
      <c r="M754" s="39">
        <v>0</v>
      </c>
      <c r="N754" s="43"/>
    </row>
    <row r="755" customHeight="1" spans="1:14">
      <c r="A755" s="40">
        <v>395</v>
      </c>
      <c r="B755" s="41" t="s">
        <v>946</v>
      </c>
      <c r="C755" s="41" t="s">
        <v>691</v>
      </c>
      <c r="D755" s="41" t="s">
        <v>641</v>
      </c>
      <c r="E755" s="41" t="s">
        <v>657</v>
      </c>
      <c r="F755" s="41" t="s">
        <v>1752</v>
      </c>
      <c r="G755" s="41" t="s">
        <v>654</v>
      </c>
      <c r="H755" s="41" t="s">
        <v>727</v>
      </c>
      <c r="I755" s="41" t="s">
        <v>693</v>
      </c>
      <c r="J755" s="41" t="s">
        <v>678</v>
      </c>
      <c r="K755" s="41" t="s">
        <v>701</v>
      </c>
      <c r="L755" s="41" t="s">
        <v>743</v>
      </c>
      <c r="M755" s="41">
        <v>0</v>
      </c>
      <c r="N755" s="44"/>
    </row>
    <row r="756" customHeight="1" spans="1:14">
      <c r="A756" s="38">
        <v>396</v>
      </c>
      <c r="B756" s="39" t="s">
        <v>1753</v>
      </c>
      <c r="C756" s="39" t="s">
        <v>691</v>
      </c>
      <c r="D756" s="39" t="s">
        <v>647</v>
      </c>
      <c r="E756" s="39" t="s">
        <v>658</v>
      </c>
      <c r="F756" s="39" t="s">
        <v>1754</v>
      </c>
      <c r="G756" s="39" t="s">
        <v>654</v>
      </c>
      <c r="H756" s="39" t="s">
        <v>707</v>
      </c>
      <c r="I756" s="39" t="s">
        <v>688</v>
      </c>
      <c r="J756" s="39" t="s">
        <v>678</v>
      </c>
      <c r="K756" s="39" t="s">
        <v>710</v>
      </c>
      <c r="L756" s="39" t="s">
        <v>684</v>
      </c>
      <c r="M756" s="39">
        <v>0.85</v>
      </c>
      <c r="N756" s="43"/>
    </row>
    <row r="757" customHeight="1" spans="1:14">
      <c r="A757" s="40">
        <v>397</v>
      </c>
      <c r="B757" s="41" t="s">
        <v>1278</v>
      </c>
      <c r="C757" s="41" t="s">
        <v>691</v>
      </c>
      <c r="D757" s="41" t="s">
        <v>644</v>
      </c>
      <c r="E757" s="41" t="s">
        <v>657</v>
      </c>
      <c r="F757" s="41" t="s">
        <v>1755</v>
      </c>
      <c r="G757" s="41" t="s">
        <v>656</v>
      </c>
      <c r="H757" s="41" t="s">
        <v>683</v>
      </c>
      <c r="I757" s="41" t="s">
        <v>677</v>
      </c>
      <c r="J757" s="41" t="s">
        <v>709</v>
      </c>
      <c r="K757" s="41" t="s">
        <v>710</v>
      </c>
      <c r="L757" s="41" t="s">
        <v>715</v>
      </c>
      <c r="M757" s="41">
        <v>0</v>
      </c>
      <c r="N757" s="44"/>
    </row>
    <row r="758" customHeight="1" spans="1:14">
      <c r="A758" s="38">
        <v>398</v>
      </c>
      <c r="B758" s="39" t="s">
        <v>975</v>
      </c>
      <c r="C758" s="39" t="s">
        <v>691</v>
      </c>
      <c r="D758" s="39" t="s">
        <v>647</v>
      </c>
      <c r="E758" s="39" t="s">
        <v>657</v>
      </c>
      <c r="F758" s="39" t="s">
        <v>1756</v>
      </c>
      <c r="G758" s="39" t="s">
        <v>652</v>
      </c>
      <c r="H758" s="39" t="s">
        <v>687</v>
      </c>
      <c r="I758" s="39" t="s">
        <v>693</v>
      </c>
      <c r="J758" s="39" t="s">
        <v>709</v>
      </c>
      <c r="K758" s="39" t="s">
        <v>694</v>
      </c>
      <c r="L758" s="39" t="s">
        <v>743</v>
      </c>
      <c r="M758" s="39">
        <v>0</v>
      </c>
      <c r="N758" s="43"/>
    </row>
    <row r="759" customHeight="1" spans="1:14">
      <c r="A759" s="40">
        <v>399</v>
      </c>
      <c r="B759" s="41" t="s">
        <v>1232</v>
      </c>
      <c r="C759" s="41" t="s">
        <v>691</v>
      </c>
      <c r="D759" s="41" t="s">
        <v>639</v>
      </c>
      <c r="E759" s="41" t="s">
        <v>657</v>
      </c>
      <c r="F759" s="41" t="s">
        <v>1757</v>
      </c>
      <c r="G759" s="41" t="s">
        <v>654</v>
      </c>
      <c r="H759" s="41" t="s">
        <v>722</v>
      </c>
      <c r="I759" s="41" t="s">
        <v>700</v>
      </c>
      <c r="J759" s="41" t="s">
        <v>678</v>
      </c>
      <c r="K759" s="41" t="s">
        <v>694</v>
      </c>
      <c r="L759" s="41" t="s">
        <v>680</v>
      </c>
      <c r="M759" s="41">
        <v>0.9</v>
      </c>
      <c r="N759" s="44"/>
    </row>
    <row r="760" customHeight="1" spans="1:14">
      <c r="A760" s="38">
        <v>400</v>
      </c>
      <c r="B760" s="39" t="s">
        <v>1758</v>
      </c>
      <c r="C760" s="39" t="s">
        <v>691</v>
      </c>
      <c r="D760" s="39" t="s">
        <v>644</v>
      </c>
      <c r="E760" s="39" t="s">
        <v>658</v>
      </c>
      <c r="F760" s="39" t="s">
        <v>1759</v>
      </c>
      <c r="G760" s="39" t="s">
        <v>655</v>
      </c>
      <c r="H760" s="39" t="s">
        <v>707</v>
      </c>
      <c r="I760" s="39" t="s">
        <v>700</v>
      </c>
      <c r="J760" s="39" t="s">
        <v>678</v>
      </c>
      <c r="K760" s="39" t="s">
        <v>701</v>
      </c>
      <c r="L760" s="39" t="s">
        <v>743</v>
      </c>
      <c r="M760" s="39">
        <v>0</v>
      </c>
      <c r="N760" s="43"/>
    </row>
    <row r="761" customHeight="1" spans="1:14">
      <c r="A761" s="40">
        <v>401</v>
      </c>
      <c r="B761" s="41" t="s">
        <v>1760</v>
      </c>
      <c r="C761" s="41" t="s">
        <v>691</v>
      </c>
      <c r="D761" s="41" t="s">
        <v>646</v>
      </c>
      <c r="E761" s="41" t="s">
        <v>658</v>
      </c>
      <c r="F761" s="41" t="s">
        <v>1761</v>
      </c>
      <c r="G761" s="41" t="s">
        <v>655</v>
      </c>
      <c r="H761" s="41" t="s">
        <v>718</v>
      </c>
      <c r="I761" s="41" t="s">
        <v>677</v>
      </c>
      <c r="J761" s="41" t="s">
        <v>709</v>
      </c>
      <c r="K761" s="41" t="s">
        <v>701</v>
      </c>
      <c r="L761" s="41" t="s">
        <v>743</v>
      </c>
      <c r="M761" s="41">
        <v>0</v>
      </c>
      <c r="N761" s="44"/>
    </row>
    <row r="762" customHeight="1" spans="1:14">
      <c r="A762" s="38">
        <v>402</v>
      </c>
      <c r="B762" s="39" t="s">
        <v>1454</v>
      </c>
      <c r="C762" s="39" t="s">
        <v>691</v>
      </c>
      <c r="D762" s="39" t="s">
        <v>638</v>
      </c>
      <c r="E762" s="39" t="s">
        <v>657</v>
      </c>
      <c r="F762" s="39" t="s">
        <v>1762</v>
      </c>
      <c r="G762" s="39" t="s">
        <v>654</v>
      </c>
      <c r="H762" s="39" t="s">
        <v>683</v>
      </c>
      <c r="I762" s="39" t="s">
        <v>693</v>
      </c>
      <c r="J762" s="39" t="s">
        <v>678</v>
      </c>
      <c r="K762" s="39" t="s">
        <v>710</v>
      </c>
      <c r="L762" s="39" t="s">
        <v>695</v>
      </c>
      <c r="M762" s="39">
        <v>0.6</v>
      </c>
      <c r="N762" s="43"/>
    </row>
    <row r="763" customHeight="1" spans="1:14">
      <c r="A763" s="40">
        <v>403</v>
      </c>
      <c r="B763" s="41" t="s">
        <v>933</v>
      </c>
      <c r="C763" s="41" t="s">
        <v>691</v>
      </c>
      <c r="D763" s="41" t="s">
        <v>647</v>
      </c>
      <c r="E763" s="41" t="s">
        <v>658</v>
      </c>
      <c r="F763" s="41" t="s">
        <v>1763</v>
      </c>
      <c r="G763" s="41" t="s">
        <v>654</v>
      </c>
      <c r="H763" s="41" t="s">
        <v>676</v>
      </c>
      <c r="I763" s="41" t="s">
        <v>693</v>
      </c>
      <c r="J763" s="41" t="s">
        <v>678</v>
      </c>
      <c r="K763" s="41" t="s">
        <v>694</v>
      </c>
      <c r="L763" s="41" t="s">
        <v>715</v>
      </c>
      <c r="M763" s="41">
        <v>0</v>
      </c>
      <c r="N763" s="44"/>
    </row>
    <row r="764" customHeight="1" spans="1:14">
      <c r="A764" s="38">
        <v>404</v>
      </c>
      <c r="B764" s="39" t="s">
        <v>749</v>
      </c>
      <c r="C764" s="39" t="s">
        <v>674</v>
      </c>
      <c r="D764" s="39" t="s">
        <v>639</v>
      </c>
      <c r="E764" s="39" t="s">
        <v>658</v>
      </c>
      <c r="F764" s="39" t="s">
        <v>1764</v>
      </c>
      <c r="G764" s="39" t="s">
        <v>653</v>
      </c>
      <c r="H764" s="39" t="s">
        <v>676</v>
      </c>
      <c r="I764" s="39" t="s">
        <v>708</v>
      </c>
      <c r="J764" s="39" t="s">
        <v>709</v>
      </c>
      <c r="K764" s="39" t="s">
        <v>689</v>
      </c>
      <c r="L764" s="39" t="s">
        <v>680</v>
      </c>
      <c r="M764" s="39">
        <v>0.9</v>
      </c>
      <c r="N764" s="43"/>
    </row>
    <row r="765" customHeight="1" spans="1:14">
      <c r="A765" s="40">
        <v>405</v>
      </c>
      <c r="B765" s="41" t="s">
        <v>859</v>
      </c>
      <c r="C765" s="41" t="s">
        <v>691</v>
      </c>
      <c r="D765" s="41" t="s">
        <v>649</v>
      </c>
      <c r="E765" s="41" t="s">
        <v>657</v>
      </c>
      <c r="F765" s="41" t="s">
        <v>1765</v>
      </c>
      <c r="G765" s="41" t="s">
        <v>656</v>
      </c>
      <c r="H765" s="41" t="s">
        <v>676</v>
      </c>
      <c r="I765" s="41" t="s">
        <v>688</v>
      </c>
      <c r="J765" s="41" t="s">
        <v>678</v>
      </c>
      <c r="K765" s="41" t="s">
        <v>679</v>
      </c>
      <c r="L765" s="41" t="s">
        <v>680</v>
      </c>
      <c r="M765" s="41">
        <v>0.9</v>
      </c>
      <c r="N765" s="44"/>
    </row>
    <row r="766" customHeight="1" spans="1:14">
      <c r="A766" s="38">
        <v>406</v>
      </c>
      <c r="B766" s="39" t="s">
        <v>728</v>
      </c>
      <c r="C766" s="39" t="s">
        <v>691</v>
      </c>
      <c r="D766" s="39" t="s">
        <v>641</v>
      </c>
      <c r="E766" s="39" t="s">
        <v>657</v>
      </c>
      <c r="F766" s="39" t="s">
        <v>1766</v>
      </c>
      <c r="G766" s="39" t="s">
        <v>656</v>
      </c>
      <c r="H766" s="39" t="s">
        <v>707</v>
      </c>
      <c r="I766" s="39" t="s">
        <v>693</v>
      </c>
      <c r="J766" s="39" t="s">
        <v>709</v>
      </c>
      <c r="K766" s="39" t="s">
        <v>710</v>
      </c>
      <c r="L766" s="39" t="s">
        <v>743</v>
      </c>
      <c r="M766" s="39">
        <v>0</v>
      </c>
      <c r="N766" s="43"/>
    </row>
    <row r="767" customHeight="1" spans="1:14">
      <c r="A767" s="40">
        <v>407</v>
      </c>
      <c r="B767" s="41" t="s">
        <v>1126</v>
      </c>
      <c r="C767" s="41" t="s">
        <v>691</v>
      </c>
      <c r="D767" s="41" t="s">
        <v>646</v>
      </c>
      <c r="E767" s="41" t="s">
        <v>658</v>
      </c>
      <c r="F767" s="41" t="s">
        <v>1767</v>
      </c>
      <c r="G767" s="41" t="s">
        <v>656</v>
      </c>
      <c r="H767" s="41" t="s">
        <v>707</v>
      </c>
      <c r="I767" s="41" t="s">
        <v>708</v>
      </c>
      <c r="J767" s="41" t="s">
        <v>709</v>
      </c>
      <c r="K767" s="41" t="s">
        <v>689</v>
      </c>
      <c r="L767" s="41" t="s">
        <v>695</v>
      </c>
      <c r="M767" s="41">
        <v>0.6</v>
      </c>
      <c r="N767" s="44"/>
    </row>
    <row r="768" customHeight="1" spans="1:14">
      <c r="A768" s="38">
        <v>408</v>
      </c>
      <c r="B768" s="39" t="s">
        <v>1258</v>
      </c>
      <c r="C768" s="39" t="s">
        <v>691</v>
      </c>
      <c r="D768" s="39" t="s">
        <v>640</v>
      </c>
      <c r="E768" s="39" t="s">
        <v>658</v>
      </c>
      <c r="F768" s="39" t="s">
        <v>1768</v>
      </c>
      <c r="G768" s="39" t="s">
        <v>652</v>
      </c>
      <c r="H768" s="39" t="s">
        <v>727</v>
      </c>
      <c r="I768" s="39" t="s">
        <v>677</v>
      </c>
      <c r="J768" s="39" t="s">
        <v>678</v>
      </c>
      <c r="K768" s="39" t="s">
        <v>732</v>
      </c>
      <c r="L768" s="39" t="s">
        <v>715</v>
      </c>
      <c r="M768" s="39">
        <v>0</v>
      </c>
      <c r="N768" s="43"/>
    </row>
    <row r="769" customHeight="1" spans="1:14">
      <c r="A769" s="40">
        <v>409</v>
      </c>
      <c r="B769" s="41" t="s">
        <v>716</v>
      </c>
      <c r="C769" s="41" t="s">
        <v>691</v>
      </c>
      <c r="D769" s="41" t="s">
        <v>640</v>
      </c>
      <c r="E769" s="41" t="s">
        <v>651</v>
      </c>
      <c r="F769" s="41" t="s">
        <v>1769</v>
      </c>
      <c r="G769" s="41" t="s">
        <v>655</v>
      </c>
      <c r="H769" s="41" t="s">
        <v>718</v>
      </c>
      <c r="I769" s="41" t="s">
        <v>693</v>
      </c>
      <c r="J769" s="41" t="s">
        <v>678</v>
      </c>
      <c r="K769" s="41" t="s">
        <v>710</v>
      </c>
      <c r="L769" s="41" t="s">
        <v>680</v>
      </c>
      <c r="M769" s="41">
        <v>0.9</v>
      </c>
      <c r="N769" s="44"/>
    </row>
    <row r="770" customHeight="1" spans="1:14">
      <c r="A770" s="38">
        <v>410</v>
      </c>
      <c r="B770" s="39" t="s">
        <v>705</v>
      </c>
      <c r="C770" s="39" t="s">
        <v>691</v>
      </c>
      <c r="D770" s="39" t="s">
        <v>649</v>
      </c>
      <c r="E770" s="39" t="s">
        <v>658</v>
      </c>
      <c r="F770" s="39" t="s">
        <v>1770</v>
      </c>
      <c r="G770" s="39" t="s">
        <v>654</v>
      </c>
      <c r="H770" s="39" t="s">
        <v>676</v>
      </c>
      <c r="I770" s="39" t="s">
        <v>693</v>
      </c>
      <c r="J770" s="39" t="s">
        <v>678</v>
      </c>
      <c r="K770" s="39" t="s">
        <v>710</v>
      </c>
      <c r="L770" s="39" t="s">
        <v>715</v>
      </c>
      <c r="M770" s="39">
        <v>0</v>
      </c>
      <c r="N770" s="43"/>
    </row>
    <row r="771" customHeight="1" spans="1:14">
      <c r="A771" s="40">
        <v>411</v>
      </c>
      <c r="B771" s="41" t="s">
        <v>901</v>
      </c>
      <c r="C771" s="41" t="s">
        <v>691</v>
      </c>
      <c r="D771" s="41" t="s">
        <v>638</v>
      </c>
      <c r="E771" s="41" t="s">
        <v>658</v>
      </c>
      <c r="F771" s="41" t="s">
        <v>1771</v>
      </c>
      <c r="G771" s="41" t="s">
        <v>654</v>
      </c>
      <c r="H771" s="41" t="s">
        <v>683</v>
      </c>
      <c r="I771" s="41" t="s">
        <v>693</v>
      </c>
      <c r="J771" s="41" t="s">
        <v>678</v>
      </c>
      <c r="K771" s="41" t="s">
        <v>732</v>
      </c>
      <c r="L771" s="41" t="s">
        <v>743</v>
      </c>
      <c r="M771" s="41">
        <v>0</v>
      </c>
      <c r="N771" s="44"/>
    </row>
    <row r="772" customHeight="1" spans="1:14">
      <c r="A772" s="38">
        <v>412</v>
      </c>
      <c r="B772" s="39" t="s">
        <v>1329</v>
      </c>
      <c r="C772" s="39" t="s">
        <v>691</v>
      </c>
      <c r="D772" s="39" t="s">
        <v>638</v>
      </c>
      <c r="E772" s="39" t="s">
        <v>658</v>
      </c>
      <c r="F772" s="39" t="s">
        <v>1772</v>
      </c>
      <c r="G772" s="39" t="s">
        <v>654</v>
      </c>
      <c r="H772" s="39" t="s">
        <v>718</v>
      </c>
      <c r="I772" s="39" t="s">
        <v>700</v>
      </c>
      <c r="J772" s="39" t="s">
        <v>678</v>
      </c>
      <c r="K772" s="39" t="s">
        <v>710</v>
      </c>
      <c r="L772" s="39" t="s">
        <v>715</v>
      </c>
      <c r="M772" s="39">
        <v>0</v>
      </c>
      <c r="N772" s="43"/>
    </row>
    <row r="773" customHeight="1" spans="1:14">
      <c r="A773" s="40">
        <v>413</v>
      </c>
      <c r="B773" s="41" t="s">
        <v>1773</v>
      </c>
      <c r="C773" s="41" t="s">
        <v>674</v>
      </c>
      <c r="D773" s="41" t="s">
        <v>638</v>
      </c>
      <c r="E773" s="41" t="s">
        <v>657</v>
      </c>
      <c r="F773" s="41" t="s">
        <v>1774</v>
      </c>
      <c r="G773" s="41" t="s">
        <v>655</v>
      </c>
      <c r="H773" s="41" t="s">
        <v>707</v>
      </c>
      <c r="I773" s="41" t="s">
        <v>693</v>
      </c>
      <c r="J773" s="41" t="s">
        <v>678</v>
      </c>
      <c r="K773" s="41" t="s">
        <v>732</v>
      </c>
      <c r="L773" s="41" t="s">
        <v>743</v>
      </c>
      <c r="M773" s="41">
        <v>0</v>
      </c>
      <c r="N773" s="44"/>
    </row>
    <row r="774" customHeight="1" spans="1:14">
      <c r="A774" s="38">
        <v>414</v>
      </c>
      <c r="B774" s="39" t="s">
        <v>1775</v>
      </c>
      <c r="C774" s="39" t="s">
        <v>674</v>
      </c>
      <c r="D774" s="39" t="s">
        <v>640</v>
      </c>
      <c r="E774" s="39" t="s">
        <v>658</v>
      </c>
      <c r="F774" s="39" t="s">
        <v>1776</v>
      </c>
      <c r="G774" s="39" t="s">
        <v>654</v>
      </c>
      <c r="H774" s="39" t="s">
        <v>687</v>
      </c>
      <c r="I774" s="39" t="s">
        <v>688</v>
      </c>
      <c r="J774" s="39" t="s">
        <v>678</v>
      </c>
      <c r="K774" s="39" t="s">
        <v>689</v>
      </c>
      <c r="L774" s="39" t="s">
        <v>680</v>
      </c>
      <c r="M774" s="39">
        <v>0.9</v>
      </c>
      <c r="N774" s="43"/>
    </row>
    <row r="775" customHeight="1" spans="1:14">
      <c r="A775" s="40">
        <v>415</v>
      </c>
      <c r="B775" s="41" t="s">
        <v>1637</v>
      </c>
      <c r="C775" s="41" t="s">
        <v>691</v>
      </c>
      <c r="D775" s="41" t="s">
        <v>638</v>
      </c>
      <c r="E775" s="41" t="s">
        <v>658</v>
      </c>
      <c r="F775" s="41" t="s">
        <v>1777</v>
      </c>
      <c r="G775" s="41" t="s">
        <v>655</v>
      </c>
      <c r="H775" s="41" t="s">
        <v>718</v>
      </c>
      <c r="I775" s="41" t="s">
        <v>688</v>
      </c>
      <c r="J775" s="41" t="s">
        <v>678</v>
      </c>
      <c r="K775" s="41" t="s">
        <v>710</v>
      </c>
      <c r="L775" s="41" t="s">
        <v>743</v>
      </c>
      <c r="M775" s="41">
        <v>0</v>
      </c>
      <c r="N775" s="44"/>
    </row>
    <row r="776" customHeight="1" spans="1:14">
      <c r="A776" s="38">
        <v>416</v>
      </c>
      <c r="B776" s="39" t="s">
        <v>1271</v>
      </c>
      <c r="C776" s="39" t="s">
        <v>691</v>
      </c>
      <c r="D776" s="39" t="s">
        <v>641</v>
      </c>
      <c r="E776" s="39" t="s">
        <v>658</v>
      </c>
      <c r="F776" s="39" t="s">
        <v>1778</v>
      </c>
      <c r="G776" s="39" t="s">
        <v>654</v>
      </c>
      <c r="H776" s="39" t="s">
        <v>727</v>
      </c>
      <c r="I776" s="39" t="s">
        <v>677</v>
      </c>
      <c r="J776" s="39" t="s">
        <v>678</v>
      </c>
      <c r="K776" s="39" t="s">
        <v>710</v>
      </c>
      <c r="L776" s="39" t="s">
        <v>680</v>
      </c>
      <c r="M776" s="39">
        <v>0.9</v>
      </c>
      <c r="N776" s="43"/>
    </row>
    <row r="777" customHeight="1" spans="1:14">
      <c r="A777" s="40">
        <v>417</v>
      </c>
      <c r="B777" s="41" t="s">
        <v>1779</v>
      </c>
      <c r="C777" s="41" t="s">
        <v>691</v>
      </c>
      <c r="D777" s="41" t="s">
        <v>641</v>
      </c>
      <c r="E777" s="41" t="s">
        <v>657</v>
      </c>
      <c r="F777" s="41" t="s">
        <v>1780</v>
      </c>
      <c r="G777" s="41" t="s">
        <v>656</v>
      </c>
      <c r="H777" s="41" t="s">
        <v>707</v>
      </c>
      <c r="I777" s="41" t="s">
        <v>688</v>
      </c>
      <c r="J777" s="41" t="s">
        <v>678</v>
      </c>
      <c r="K777" s="41" t="s">
        <v>689</v>
      </c>
      <c r="L777" s="41" t="s">
        <v>680</v>
      </c>
      <c r="M777" s="41">
        <v>0.9</v>
      </c>
      <c r="N777" s="44"/>
    </row>
    <row r="778" customHeight="1" spans="1:14">
      <c r="A778" s="38">
        <v>418</v>
      </c>
      <c r="B778" s="39" t="s">
        <v>866</v>
      </c>
      <c r="C778" s="39" t="s">
        <v>691</v>
      </c>
      <c r="D778" s="39" t="s">
        <v>645</v>
      </c>
      <c r="E778" s="39" t="s">
        <v>658</v>
      </c>
      <c r="F778" s="39" t="s">
        <v>1781</v>
      </c>
      <c r="G778" s="39" t="s">
        <v>655</v>
      </c>
      <c r="H778" s="39" t="s">
        <v>687</v>
      </c>
      <c r="I778" s="39" t="s">
        <v>700</v>
      </c>
      <c r="J778" s="39" t="s">
        <v>678</v>
      </c>
      <c r="K778" s="39" t="s">
        <v>732</v>
      </c>
      <c r="L778" s="39" t="s">
        <v>743</v>
      </c>
      <c r="M778" s="39">
        <v>0</v>
      </c>
      <c r="N778" s="43"/>
    </row>
    <row r="779" customHeight="1" spans="1:14">
      <c r="A779" s="40">
        <v>419</v>
      </c>
      <c r="B779" s="41" t="s">
        <v>1046</v>
      </c>
      <c r="C779" s="41" t="s">
        <v>691</v>
      </c>
      <c r="D779" s="41" t="s">
        <v>638</v>
      </c>
      <c r="E779" s="41" t="s">
        <v>651</v>
      </c>
      <c r="F779" s="41" t="s">
        <v>1782</v>
      </c>
      <c r="G779" s="41" t="s">
        <v>655</v>
      </c>
      <c r="H779" s="41" t="s">
        <v>722</v>
      </c>
      <c r="I779" s="41" t="s">
        <v>708</v>
      </c>
      <c r="J779" s="41" t="s">
        <v>709</v>
      </c>
      <c r="K779" s="41" t="s">
        <v>701</v>
      </c>
      <c r="L779" s="41" t="s">
        <v>715</v>
      </c>
      <c r="M779" s="41">
        <v>0</v>
      </c>
      <c r="N779" s="44"/>
    </row>
    <row r="780" customHeight="1" spans="1:14">
      <c r="A780" s="38">
        <v>420</v>
      </c>
      <c r="B780" s="39" t="s">
        <v>702</v>
      </c>
      <c r="C780" s="39" t="s">
        <v>703</v>
      </c>
      <c r="D780" s="39" t="s">
        <v>647</v>
      </c>
      <c r="E780" s="39" t="s">
        <v>658</v>
      </c>
      <c r="F780" s="39" t="s">
        <v>1783</v>
      </c>
      <c r="G780" s="39" t="s">
        <v>652</v>
      </c>
      <c r="H780" s="39" t="s">
        <v>683</v>
      </c>
      <c r="I780" s="39" t="s">
        <v>708</v>
      </c>
      <c r="J780" s="39" t="s">
        <v>678</v>
      </c>
      <c r="K780" s="39" t="s">
        <v>694</v>
      </c>
      <c r="L780" s="39" t="s">
        <v>680</v>
      </c>
      <c r="M780" s="39">
        <v>0.9</v>
      </c>
      <c r="N780" s="43"/>
    </row>
    <row r="781" customHeight="1" spans="1:14">
      <c r="A781" s="40">
        <v>421</v>
      </c>
      <c r="B781" s="41" t="s">
        <v>1784</v>
      </c>
      <c r="C781" s="41" t="s">
        <v>674</v>
      </c>
      <c r="D781" s="41" t="s">
        <v>640</v>
      </c>
      <c r="E781" s="41" t="s">
        <v>658</v>
      </c>
      <c r="F781" s="41" t="s">
        <v>1785</v>
      </c>
      <c r="G781" s="41" t="s">
        <v>654</v>
      </c>
      <c r="H781" s="41" t="s">
        <v>687</v>
      </c>
      <c r="I781" s="41" t="s">
        <v>700</v>
      </c>
      <c r="J781" s="41" t="s">
        <v>678</v>
      </c>
      <c r="K781" s="41" t="s">
        <v>679</v>
      </c>
      <c r="L781" s="41" t="s">
        <v>680</v>
      </c>
      <c r="M781" s="41">
        <v>0.9</v>
      </c>
      <c r="N781" s="44"/>
    </row>
    <row r="782" customHeight="1" spans="1:14">
      <c r="A782" s="38">
        <v>422</v>
      </c>
      <c r="B782" s="39" t="s">
        <v>1128</v>
      </c>
      <c r="C782" s="39" t="s">
        <v>691</v>
      </c>
      <c r="D782" s="39" t="s">
        <v>642</v>
      </c>
      <c r="E782" s="39" t="s">
        <v>657</v>
      </c>
      <c r="F782" s="39" t="s">
        <v>1786</v>
      </c>
      <c r="G782" s="39" t="s">
        <v>656</v>
      </c>
      <c r="H782" s="39" t="s">
        <v>683</v>
      </c>
      <c r="I782" s="39" t="s">
        <v>693</v>
      </c>
      <c r="J782" s="39" t="s">
        <v>678</v>
      </c>
      <c r="K782" s="39" t="s">
        <v>701</v>
      </c>
      <c r="L782" s="39" t="s">
        <v>743</v>
      </c>
      <c r="M782" s="39">
        <v>0</v>
      </c>
      <c r="N782" s="43"/>
    </row>
    <row r="783" customHeight="1" spans="1:14">
      <c r="A783" s="40">
        <v>423</v>
      </c>
      <c r="B783" s="41" t="s">
        <v>741</v>
      </c>
      <c r="C783" s="41" t="s">
        <v>691</v>
      </c>
      <c r="D783" s="41" t="s">
        <v>639</v>
      </c>
      <c r="E783" s="41" t="s">
        <v>657</v>
      </c>
      <c r="F783" s="41" t="s">
        <v>1787</v>
      </c>
      <c r="G783" s="41" t="s">
        <v>656</v>
      </c>
      <c r="H783" s="41" t="s">
        <v>687</v>
      </c>
      <c r="I783" s="41" t="s">
        <v>688</v>
      </c>
      <c r="J783" s="41" t="s">
        <v>678</v>
      </c>
      <c r="K783" s="41" t="s">
        <v>732</v>
      </c>
      <c r="L783" s="41" t="s">
        <v>680</v>
      </c>
      <c r="M783" s="41">
        <v>0.9</v>
      </c>
      <c r="N783" s="44"/>
    </row>
    <row r="784" customHeight="1" spans="1:14">
      <c r="A784" s="38">
        <v>424</v>
      </c>
      <c r="B784" s="39" t="s">
        <v>1018</v>
      </c>
      <c r="C784" s="39" t="s">
        <v>674</v>
      </c>
      <c r="D784" s="39" t="s">
        <v>640</v>
      </c>
      <c r="E784" s="39" t="s">
        <v>658</v>
      </c>
      <c r="F784" s="39" t="s">
        <v>1788</v>
      </c>
      <c r="G784" s="39" t="s">
        <v>654</v>
      </c>
      <c r="H784" s="39" t="s">
        <v>707</v>
      </c>
      <c r="I784" s="39" t="s">
        <v>693</v>
      </c>
      <c r="J784" s="39" t="s">
        <v>678</v>
      </c>
      <c r="K784" s="39" t="s">
        <v>694</v>
      </c>
      <c r="L784" s="39" t="s">
        <v>680</v>
      </c>
      <c r="M784" s="39">
        <v>0.9</v>
      </c>
      <c r="N784" s="43"/>
    </row>
    <row r="785" customHeight="1" spans="1:14">
      <c r="A785" s="40">
        <v>425</v>
      </c>
      <c r="B785" s="41" t="s">
        <v>1135</v>
      </c>
      <c r="C785" s="41" t="s">
        <v>691</v>
      </c>
      <c r="D785" s="41" t="s">
        <v>647</v>
      </c>
      <c r="E785" s="41" t="s">
        <v>658</v>
      </c>
      <c r="F785" s="41" t="s">
        <v>1789</v>
      </c>
      <c r="G785" s="41" t="s">
        <v>652</v>
      </c>
      <c r="H785" s="41" t="s">
        <v>707</v>
      </c>
      <c r="I785" s="41" t="s">
        <v>677</v>
      </c>
      <c r="J785" s="41" t="s">
        <v>709</v>
      </c>
      <c r="K785" s="41" t="s">
        <v>694</v>
      </c>
      <c r="L785" s="41" t="s">
        <v>743</v>
      </c>
      <c r="M785" s="41">
        <v>0</v>
      </c>
      <c r="N785" s="44"/>
    </row>
    <row r="786" customHeight="1" spans="1:14">
      <c r="A786" s="38">
        <v>426</v>
      </c>
      <c r="B786" s="39" t="s">
        <v>806</v>
      </c>
      <c r="C786" s="39" t="s">
        <v>674</v>
      </c>
      <c r="D786" s="39" t="s">
        <v>649</v>
      </c>
      <c r="E786" s="39" t="s">
        <v>651</v>
      </c>
      <c r="F786" s="39" t="s">
        <v>1790</v>
      </c>
      <c r="G786" s="39" t="s">
        <v>656</v>
      </c>
      <c r="H786" s="39" t="s">
        <v>707</v>
      </c>
      <c r="I786" s="39" t="s">
        <v>700</v>
      </c>
      <c r="J786" s="39" t="s">
        <v>709</v>
      </c>
      <c r="K786" s="39" t="s">
        <v>694</v>
      </c>
      <c r="L786" s="39" t="s">
        <v>695</v>
      </c>
      <c r="M786" s="39">
        <v>0.6</v>
      </c>
      <c r="N786" s="43"/>
    </row>
    <row r="787" customHeight="1" spans="1:14">
      <c r="A787" s="40">
        <v>427</v>
      </c>
      <c r="B787" s="41" t="s">
        <v>1378</v>
      </c>
      <c r="C787" s="41" t="s">
        <v>691</v>
      </c>
      <c r="D787" s="41" t="s">
        <v>639</v>
      </c>
      <c r="E787" s="41" t="s">
        <v>657</v>
      </c>
      <c r="F787" s="41" t="s">
        <v>1791</v>
      </c>
      <c r="G787" s="41" t="s">
        <v>655</v>
      </c>
      <c r="H787" s="41" t="s">
        <v>676</v>
      </c>
      <c r="I787" s="41" t="s">
        <v>708</v>
      </c>
      <c r="J787" s="41" t="s">
        <v>678</v>
      </c>
      <c r="K787" s="41" t="s">
        <v>689</v>
      </c>
      <c r="L787" s="41" t="s">
        <v>719</v>
      </c>
      <c r="M787" s="41">
        <v>0</v>
      </c>
      <c r="N787" s="44"/>
    </row>
    <row r="788" customHeight="1" spans="1:14">
      <c r="A788" s="38">
        <v>428</v>
      </c>
      <c r="B788" s="39" t="s">
        <v>1225</v>
      </c>
      <c r="C788" s="39" t="s">
        <v>691</v>
      </c>
      <c r="D788" s="39" t="s">
        <v>641</v>
      </c>
      <c r="E788" s="39" t="s">
        <v>658</v>
      </c>
      <c r="F788" s="39" t="s">
        <v>1792</v>
      </c>
      <c r="G788" s="39" t="s">
        <v>653</v>
      </c>
      <c r="H788" s="39" t="s">
        <v>718</v>
      </c>
      <c r="I788" s="39" t="s">
        <v>693</v>
      </c>
      <c r="J788" s="39" t="s">
        <v>709</v>
      </c>
      <c r="K788" s="39" t="s">
        <v>694</v>
      </c>
      <c r="L788" s="39" t="s">
        <v>680</v>
      </c>
      <c r="M788" s="39">
        <v>0.9</v>
      </c>
      <c r="N788" s="43"/>
    </row>
    <row r="789" customHeight="1" spans="1:14">
      <c r="A789" s="40">
        <v>429</v>
      </c>
      <c r="B789" s="41" t="s">
        <v>1069</v>
      </c>
      <c r="C789" s="41" t="s">
        <v>674</v>
      </c>
      <c r="D789" s="41" t="s">
        <v>640</v>
      </c>
      <c r="E789" s="41" t="s">
        <v>658</v>
      </c>
      <c r="F789" s="41" t="s">
        <v>1793</v>
      </c>
      <c r="G789" s="41" t="s">
        <v>654</v>
      </c>
      <c r="H789" s="41" t="s">
        <v>722</v>
      </c>
      <c r="I789" s="41" t="s">
        <v>688</v>
      </c>
      <c r="J789" s="41" t="s">
        <v>678</v>
      </c>
      <c r="K789" s="41" t="s">
        <v>694</v>
      </c>
      <c r="L789" s="41" t="s">
        <v>684</v>
      </c>
      <c r="M789" s="41">
        <v>0.85</v>
      </c>
      <c r="N789" s="44"/>
    </row>
    <row r="790" customHeight="1" spans="1:14">
      <c r="A790" s="38">
        <v>430</v>
      </c>
      <c r="B790" s="39" t="s">
        <v>1384</v>
      </c>
      <c r="C790" s="39" t="s">
        <v>691</v>
      </c>
      <c r="D790" s="39" t="s">
        <v>647</v>
      </c>
      <c r="E790" s="39" t="s">
        <v>657</v>
      </c>
      <c r="F790" s="39" t="s">
        <v>1794</v>
      </c>
      <c r="G790" s="39" t="s">
        <v>655</v>
      </c>
      <c r="H790" s="39" t="s">
        <v>727</v>
      </c>
      <c r="I790" s="39" t="s">
        <v>688</v>
      </c>
      <c r="J790" s="39" t="s">
        <v>678</v>
      </c>
      <c r="K790" s="39" t="s">
        <v>701</v>
      </c>
      <c r="L790" s="39" t="s">
        <v>684</v>
      </c>
      <c r="M790" s="39">
        <v>0.85</v>
      </c>
      <c r="N790" s="43"/>
    </row>
    <row r="791" customHeight="1" spans="1:14">
      <c r="A791" s="40">
        <v>431</v>
      </c>
      <c r="B791" s="41" t="s">
        <v>1038</v>
      </c>
      <c r="C791" s="41" t="s">
        <v>674</v>
      </c>
      <c r="D791" s="41" t="s">
        <v>647</v>
      </c>
      <c r="E791" s="41" t="s">
        <v>658</v>
      </c>
      <c r="F791" s="41" t="s">
        <v>1795</v>
      </c>
      <c r="G791" s="41" t="s">
        <v>656</v>
      </c>
      <c r="H791" s="41" t="s">
        <v>727</v>
      </c>
      <c r="I791" s="41" t="s">
        <v>677</v>
      </c>
      <c r="J791" s="41" t="s">
        <v>678</v>
      </c>
      <c r="K791" s="41" t="s">
        <v>710</v>
      </c>
      <c r="L791" s="41" t="s">
        <v>743</v>
      </c>
      <c r="M791" s="41">
        <v>0</v>
      </c>
      <c r="N791" s="44"/>
    </row>
    <row r="792" customHeight="1" spans="1:14">
      <c r="A792" s="38">
        <v>432</v>
      </c>
      <c r="B792" s="39" t="s">
        <v>1512</v>
      </c>
      <c r="C792" s="39" t="s">
        <v>674</v>
      </c>
      <c r="D792" s="39" t="s">
        <v>638</v>
      </c>
      <c r="E792" s="39" t="s">
        <v>657</v>
      </c>
      <c r="F792" s="39" t="s">
        <v>1796</v>
      </c>
      <c r="G792" s="39" t="s">
        <v>654</v>
      </c>
      <c r="H792" s="39" t="s">
        <v>718</v>
      </c>
      <c r="I792" s="39" t="s">
        <v>708</v>
      </c>
      <c r="J792" s="39" t="s">
        <v>678</v>
      </c>
      <c r="K792" s="39" t="s">
        <v>732</v>
      </c>
      <c r="L792" s="39" t="s">
        <v>684</v>
      </c>
      <c r="M792" s="39">
        <v>0.85</v>
      </c>
      <c r="N792" s="43"/>
    </row>
    <row r="793" customHeight="1" spans="1:14">
      <c r="A793" s="40">
        <v>433</v>
      </c>
      <c r="B793" s="41" t="s">
        <v>1355</v>
      </c>
      <c r="C793" s="41" t="s">
        <v>691</v>
      </c>
      <c r="D793" s="41" t="s">
        <v>645</v>
      </c>
      <c r="E793" s="41" t="s">
        <v>657</v>
      </c>
      <c r="F793" s="41" t="s">
        <v>1797</v>
      </c>
      <c r="G793" s="41" t="s">
        <v>654</v>
      </c>
      <c r="H793" s="41" t="s">
        <v>727</v>
      </c>
      <c r="I793" s="41" t="s">
        <v>708</v>
      </c>
      <c r="J793" s="41" t="s">
        <v>678</v>
      </c>
      <c r="K793" s="41" t="s">
        <v>689</v>
      </c>
      <c r="L793" s="41" t="s">
        <v>715</v>
      </c>
      <c r="M793" s="41">
        <v>0</v>
      </c>
      <c r="N793" s="44"/>
    </row>
    <row r="794" customHeight="1" spans="1:14">
      <c r="A794" s="38">
        <v>434</v>
      </c>
      <c r="B794" s="39" t="s">
        <v>1208</v>
      </c>
      <c r="C794" s="39" t="s">
        <v>691</v>
      </c>
      <c r="D794" s="39" t="s">
        <v>644</v>
      </c>
      <c r="E794" s="39" t="s">
        <v>657</v>
      </c>
      <c r="F794" s="39" t="s">
        <v>1798</v>
      </c>
      <c r="G794" s="39" t="s">
        <v>653</v>
      </c>
      <c r="H794" s="39" t="s">
        <v>727</v>
      </c>
      <c r="I794" s="39" t="s">
        <v>688</v>
      </c>
      <c r="J794" s="39" t="s">
        <v>678</v>
      </c>
      <c r="K794" s="39" t="s">
        <v>689</v>
      </c>
      <c r="L794" s="39" t="s">
        <v>684</v>
      </c>
      <c r="M794" s="39">
        <v>0.85</v>
      </c>
      <c r="N794" s="43"/>
    </row>
    <row r="795" customHeight="1" spans="1:14">
      <c r="A795" s="40">
        <v>435</v>
      </c>
      <c r="B795" s="41" t="s">
        <v>774</v>
      </c>
      <c r="C795" s="41" t="s">
        <v>674</v>
      </c>
      <c r="D795" s="41" t="s">
        <v>640</v>
      </c>
      <c r="E795" s="41" t="s">
        <v>658</v>
      </c>
      <c r="F795" s="41" t="s">
        <v>1799</v>
      </c>
      <c r="G795" s="41" t="s">
        <v>655</v>
      </c>
      <c r="H795" s="41" t="s">
        <v>687</v>
      </c>
      <c r="I795" s="41" t="s">
        <v>693</v>
      </c>
      <c r="J795" s="41" t="s">
        <v>678</v>
      </c>
      <c r="K795" s="41" t="s">
        <v>710</v>
      </c>
      <c r="L795" s="41" t="s">
        <v>719</v>
      </c>
      <c r="M795" s="41">
        <v>0</v>
      </c>
      <c r="N795" s="44"/>
    </row>
    <row r="796" customHeight="1" spans="1:14">
      <c r="A796" s="38">
        <v>436</v>
      </c>
      <c r="B796" s="39" t="s">
        <v>1800</v>
      </c>
      <c r="C796" s="39" t="s">
        <v>691</v>
      </c>
      <c r="D796" s="39" t="s">
        <v>641</v>
      </c>
      <c r="E796" s="39" t="s">
        <v>651</v>
      </c>
      <c r="F796" s="39" t="s">
        <v>1801</v>
      </c>
      <c r="G796" s="39" t="s">
        <v>654</v>
      </c>
      <c r="H796" s="39" t="s">
        <v>687</v>
      </c>
      <c r="I796" s="39" t="s">
        <v>708</v>
      </c>
      <c r="J796" s="39" t="s">
        <v>678</v>
      </c>
      <c r="K796" s="39" t="s">
        <v>689</v>
      </c>
      <c r="L796" s="39" t="s">
        <v>684</v>
      </c>
      <c r="M796" s="39">
        <v>0.85</v>
      </c>
      <c r="N796" s="43"/>
    </row>
    <row r="797" customHeight="1" spans="1:14">
      <c r="A797" s="40">
        <v>437</v>
      </c>
      <c r="B797" s="41" t="s">
        <v>954</v>
      </c>
      <c r="C797" s="41" t="s">
        <v>674</v>
      </c>
      <c r="D797" s="41" t="s">
        <v>645</v>
      </c>
      <c r="E797" s="41" t="s">
        <v>657</v>
      </c>
      <c r="F797" s="41" t="s">
        <v>1802</v>
      </c>
      <c r="G797" s="41" t="s">
        <v>656</v>
      </c>
      <c r="H797" s="41" t="s">
        <v>722</v>
      </c>
      <c r="I797" s="41" t="s">
        <v>688</v>
      </c>
      <c r="J797" s="41" t="s">
        <v>709</v>
      </c>
      <c r="K797" s="41" t="s">
        <v>679</v>
      </c>
      <c r="L797" s="41" t="s">
        <v>719</v>
      </c>
      <c r="M797" s="41">
        <v>0</v>
      </c>
      <c r="N797" s="44"/>
    </row>
    <row r="798" customHeight="1" spans="1:14">
      <c r="A798" s="38">
        <v>438</v>
      </c>
      <c r="B798" s="39" t="s">
        <v>1148</v>
      </c>
      <c r="C798" s="39" t="s">
        <v>691</v>
      </c>
      <c r="D798" s="39" t="s">
        <v>646</v>
      </c>
      <c r="E798" s="39" t="s">
        <v>651</v>
      </c>
      <c r="F798" s="39" t="s">
        <v>1803</v>
      </c>
      <c r="G798" s="39" t="s">
        <v>654</v>
      </c>
      <c r="H798" s="39" t="s">
        <v>707</v>
      </c>
      <c r="I798" s="39" t="s">
        <v>693</v>
      </c>
      <c r="J798" s="39" t="s">
        <v>678</v>
      </c>
      <c r="K798" s="39" t="s">
        <v>679</v>
      </c>
      <c r="L798" s="39" t="s">
        <v>743</v>
      </c>
      <c r="M798" s="39">
        <v>0</v>
      </c>
      <c r="N798" s="43"/>
    </row>
    <row r="799" customHeight="1" spans="1:14">
      <c r="A799" s="40">
        <v>439</v>
      </c>
      <c r="B799" s="41" t="s">
        <v>720</v>
      </c>
      <c r="C799" s="41" t="s">
        <v>691</v>
      </c>
      <c r="D799" s="41" t="s">
        <v>646</v>
      </c>
      <c r="E799" s="41" t="s">
        <v>658</v>
      </c>
      <c r="F799" s="41" t="s">
        <v>1804</v>
      </c>
      <c r="G799" s="41" t="s">
        <v>653</v>
      </c>
      <c r="H799" s="41" t="s">
        <v>722</v>
      </c>
      <c r="I799" s="41" t="s">
        <v>688</v>
      </c>
      <c r="J799" s="41" t="s">
        <v>709</v>
      </c>
      <c r="K799" s="41" t="s">
        <v>710</v>
      </c>
      <c r="L799" s="41" t="s">
        <v>719</v>
      </c>
      <c r="M799" s="41">
        <v>0</v>
      </c>
      <c r="N799" s="44"/>
    </row>
    <row r="800" customHeight="1" spans="1:14">
      <c r="A800" s="38">
        <v>440</v>
      </c>
      <c r="B800" s="39" t="s">
        <v>1560</v>
      </c>
      <c r="C800" s="39" t="s">
        <v>691</v>
      </c>
      <c r="D800" s="39" t="s">
        <v>642</v>
      </c>
      <c r="E800" s="39" t="s">
        <v>658</v>
      </c>
      <c r="F800" s="39" t="s">
        <v>1805</v>
      </c>
      <c r="G800" s="39" t="s">
        <v>655</v>
      </c>
      <c r="H800" s="39" t="s">
        <v>707</v>
      </c>
      <c r="I800" s="39" t="s">
        <v>693</v>
      </c>
      <c r="J800" s="39" t="s">
        <v>709</v>
      </c>
      <c r="K800" s="39" t="s">
        <v>689</v>
      </c>
      <c r="L800" s="39" t="s">
        <v>715</v>
      </c>
      <c r="M800" s="39">
        <v>0</v>
      </c>
      <c r="N800" s="43"/>
    </row>
    <row r="801" customHeight="1" spans="1:14">
      <c r="A801" s="40">
        <v>441</v>
      </c>
      <c r="B801" s="41" t="s">
        <v>1738</v>
      </c>
      <c r="C801" s="41" t="s">
        <v>691</v>
      </c>
      <c r="D801" s="41" t="s">
        <v>648</v>
      </c>
      <c r="E801" s="41" t="s">
        <v>658</v>
      </c>
      <c r="F801" s="41" t="s">
        <v>1806</v>
      </c>
      <c r="G801" s="41" t="s">
        <v>654</v>
      </c>
      <c r="H801" s="41" t="s">
        <v>727</v>
      </c>
      <c r="I801" s="41" t="s">
        <v>700</v>
      </c>
      <c r="J801" s="41" t="s">
        <v>678</v>
      </c>
      <c r="K801" s="41" t="s">
        <v>710</v>
      </c>
      <c r="L801" s="41" t="s">
        <v>715</v>
      </c>
      <c r="M801" s="41">
        <v>0</v>
      </c>
      <c r="N801" s="44"/>
    </row>
    <row r="802" customHeight="1" spans="1:14">
      <c r="A802" s="38">
        <v>442</v>
      </c>
      <c r="B802" s="39" t="s">
        <v>1807</v>
      </c>
      <c r="C802" s="39" t="s">
        <v>691</v>
      </c>
      <c r="D802" s="39" t="s">
        <v>649</v>
      </c>
      <c r="E802" s="39" t="s">
        <v>657</v>
      </c>
      <c r="F802" s="39" t="s">
        <v>1808</v>
      </c>
      <c r="G802" s="39" t="s">
        <v>652</v>
      </c>
      <c r="H802" s="39" t="s">
        <v>718</v>
      </c>
      <c r="I802" s="39" t="s">
        <v>693</v>
      </c>
      <c r="J802" s="39" t="s">
        <v>709</v>
      </c>
      <c r="K802" s="39" t="s">
        <v>732</v>
      </c>
      <c r="L802" s="39" t="s">
        <v>695</v>
      </c>
      <c r="M802" s="39">
        <v>0.6</v>
      </c>
      <c r="N802" s="43"/>
    </row>
    <row r="803" customHeight="1" spans="1:14">
      <c r="A803" s="40">
        <v>443</v>
      </c>
      <c r="B803" s="41" t="s">
        <v>898</v>
      </c>
      <c r="C803" s="41" t="s">
        <v>691</v>
      </c>
      <c r="D803" s="41" t="s">
        <v>642</v>
      </c>
      <c r="E803" s="41" t="s">
        <v>658</v>
      </c>
      <c r="F803" s="41" t="s">
        <v>1809</v>
      </c>
      <c r="G803" s="41" t="s">
        <v>653</v>
      </c>
      <c r="H803" s="41" t="s">
        <v>687</v>
      </c>
      <c r="I803" s="41" t="s">
        <v>700</v>
      </c>
      <c r="J803" s="41" t="s">
        <v>709</v>
      </c>
      <c r="K803" s="41" t="s">
        <v>689</v>
      </c>
      <c r="L803" s="41" t="s">
        <v>743</v>
      </c>
      <c r="M803" s="41">
        <v>0</v>
      </c>
      <c r="N803" s="44"/>
    </row>
    <row r="804" customHeight="1" spans="1:14">
      <c r="A804" s="38">
        <v>444</v>
      </c>
      <c r="B804" s="39" t="s">
        <v>1309</v>
      </c>
      <c r="C804" s="39" t="s">
        <v>674</v>
      </c>
      <c r="D804" s="39" t="s">
        <v>639</v>
      </c>
      <c r="E804" s="39" t="s">
        <v>657</v>
      </c>
      <c r="F804" s="39" t="s">
        <v>1810</v>
      </c>
      <c r="G804" s="39" t="s">
        <v>656</v>
      </c>
      <c r="H804" s="39" t="s">
        <v>722</v>
      </c>
      <c r="I804" s="39" t="s">
        <v>708</v>
      </c>
      <c r="J804" s="39" t="s">
        <v>709</v>
      </c>
      <c r="K804" s="39" t="s">
        <v>710</v>
      </c>
      <c r="L804" s="39" t="s">
        <v>719</v>
      </c>
      <c r="M804" s="39">
        <v>0</v>
      </c>
      <c r="N804" s="43"/>
    </row>
    <row r="805" customHeight="1" spans="1:14">
      <c r="A805" s="40">
        <v>445</v>
      </c>
      <c r="B805" s="41" t="s">
        <v>1215</v>
      </c>
      <c r="C805" s="41" t="s">
        <v>691</v>
      </c>
      <c r="D805" s="41" t="s">
        <v>639</v>
      </c>
      <c r="E805" s="41" t="s">
        <v>657</v>
      </c>
      <c r="F805" s="41" t="s">
        <v>1811</v>
      </c>
      <c r="G805" s="41" t="s">
        <v>656</v>
      </c>
      <c r="H805" s="41" t="s">
        <v>687</v>
      </c>
      <c r="I805" s="41" t="s">
        <v>677</v>
      </c>
      <c r="J805" s="41" t="s">
        <v>678</v>
      </c>
      <c r="K805" s="41" t="s">
        <v>679</v>
      </c>
      <c r="L805" s="41" t="s">
        <v>743</v>
      </c>
      <c r="M805" s="41">
        <v>0</v>
      </c>
      <c r="N805" s="44"/>
    </row>
    <row r="806" customHeight="1" spans="1:14">
      <c r="A806" s="38">
        <v>446</v>
      </c>
      <c r="B806" s="39" t="s">
        <v>1197</v>
      </c>
      <c r="C806" s="39" t="s">
        <v>691</v>
      </c>
      <c r="D806" s="39" t="s">
        <v>638</v>
      </c>
      <c r="E806" s="39" t="s">
        <v>657</v>
      </c>
      <c r="F806" s="39" t="s">
        <v>1812</v>
      </c>
      <c r="G806" s="39" t="s">
        <v>653</v>
      </c>
      <c r="H806" s="39" t="s">
        <v>707</v>
      </c>
      <c r="I806" s="39" t="s">
        <v>677</v>
      </c>
      <c r="J806" s="39" t="s">
        <v>678</v>
      </c>
      <c r="K806" s="39" t="s">
        <v>679</v>
      </c>
      <c r="L806" s="39" t="s">
        <v>684</v>
      </c>
      <c r="M806" s="39">
        <v>0.85</v>
      </c>
      <c r="N806" s="43"/>
    </row>
    <row r="807" customHeight="1" spans="1:14">
      <c r="A807" s="40">
        <v>447</v>
      </c>
      <c r="B807" s="41" t="s">
        <v>879</v>
      </c>
      <c r="C807" s="41" t="s">
        <v>691</v>
      </c>
      <c r="D807" s="41" t="s">
        <v>646</v>
      </c>
      <c r="E807" s="41" t="s">
        <v>651</v>
      </c>
      <c r="F807" s="41" t="s">
        <v>1813</v>
      </c>
      <c r="G807" s="41" t="s">
        <v>656</v>
      </c>
      <c r="H807" s="41" t="s">
        <v>683</v>
      </c>
      <c r="I807" s="41" t="s">
        <v>693</v>
      </c>
      <c r="J807" s="41" t="s">
        <v>709</v>
      </c>
      <c r="K807" s="41" t="s">
        <v>701</v>
      </c>
      <c r="L807" s="41" t="s">
        <v>743</v>
      </c>
      <c r="M807" s="41">
        <v>0</v>
      </c>
      <c r="N807" s="44"/>
    </row>
    <row r="808" customHeight="1" spans="1:14">
      <c r="A808" s="38">
        <v>448</v>
      </c>
      <c r="B808" s="39" t="s">
        <v>1097</v>
      </c>
      <c r="C808" s="39" t="s">
        <v>691</v>
      </c>
      <c r="D808" s="39" t="s">
        <v>641</v>
      </c>
      <c r="E808" s="39" t="s">
        <v>657</v>
      </c>
      <c r="F808" s="39" t="s">
        <v>1814</v>
      </c>
      <c r="G808" s="39" t="s">
        <v>652</v>
      </c>
      <c r="H808" s="39" t="s">
        <v>722</v>
      </c>
      <c r="I808" s="39" t="s">
        <v>708</v>
      </c>
      <c r="J808" s="39" t="s">
        <v>709</v>
      </c>
      <c r="K808" s="39" t="s">
        <v>710</v>
      </c>
      <c r="L808" s="39" t="s">
        <v>680</v>
      </c>
      <c r="M808" s="39">
        <v>0.9</v>
      </c>
      <c r="N808" s="43"/>
    </row>
    <row r="809" customHeight="1" spans="1:14">
      <c r="A809" s="40">
        <v>449</v>
      </c>
      <c r="B809" s="41" t="s">
        <v>986</v>
      </c>
      <c r="C809" s="41" t="s">
        <v>691</v>
      </c>
      <c r="D809" s="41" t="s">
        <v>647</v>
      </c>
      <c r="E809" s="41" t="s">
        <v>658</v>
      </c>
      <c r="F809" s="41" t="s">
        <v>1815</v>
      </c>
      <c r="G809" s="41" t="s">
        <v>652</v>
      </c>
      <c r="H809" s="41" t="s">
        <v>707</v>
      </c>
      <c r="I809" s="41" t="s">
        <v>688</v>
      </c>
      <c r="J809" s="41" t="s">
        <v>709</v>
      </c>
      <c r="K809" s="41" t="s">
        <v>732</v>
      </c>
      <c r="L809" s="41" t="s">
        <v>684</v>
      </c>
      <c r="M809" s="41">
        <v>0.85</v>
      </c>
      <c r="N809" s="44"/>
    </row>
    <row r="810" customHeight="1" spans="1:14">
      <c r="A810" s="38">
        <v>450</v>
      </c>
      <c r="B810" s="39" t="s">
        <v>1120</v>
      </c>
      <c r="C810" s="39" t="s">
        <v>674</v>
      </c>
      <c r="D810" s="39" t="s">
        <v>641</v>
      </c>
      <c r="E810" s="39" t="s">
        <v>657</v>
      </c>
      <c r="F810" s="39" t="s">
        <v>1816</v>
      </c>
      <c r="G810" s="39" t="s">
        <v>653</v>
      </c>
      <c r="H810" s="39" t="s">
        <v>718</v>
      </c>
      <c r="I810" s="39" t="s">
        <v>693</v>
      </c>
      <c r="J810" s="39" t="s">
        <v>678</v>
      </c>
      <c r="K810" s="39" t="s">
        <v>701</v>
      </c>
      <c r="L810" s="39" t="s">
        <v>719</v>
      </c>
      <c r="M810" s="39">
        <v>0</v>
      </c>
      <c r="N810" s="43"/>
    </row>
    <row r="811" customHeight="1" spans="1:14">
      <c r="A811" s="40">
        <v>451</v>
      </c>
      <c r="B811" s="41" t="s">
        <v>1248</v>
      </c>
      <c r="C811" s="41" t="s">
        <v>674</v>
      </c>
      <c r="D811" s="41" t="s">
        <v>638</v>
      </c>
      <c r="E811" s="41" t="s">
        <v>657</v>
      </c>
      <c r="F811" s="41" t="s">
        <v>1817</v>
      </c>
      <c r="G811" s="41" t="s">
        <v>652</v>
      </c>
      <c r="H811" s="41" t="s">
        <v>722</v>
      </c>
      <c r="I811" s="41" t="s">
        <v>677</v>
      </c>
      <c r="J811" s="41" t="s">
        <v>678</v>
      </c>
      <c r="K811" s="41" t="s">
        <v>679</v>
      </c>
      <c r="L811" s="41" t="s">
        <v>715</v>
      </c>
      <c r="M811" s="41">
        <v>0</v>
      </c>
      <c r="N811" s="44"/>
    </row>
    <row r="812" customHeight="1" spans="1:14">
      <c r="A812" s="38">
        <v>452</v>
      </c>
      <c r="B812" s="39" t="s">
        <v>1250</v>
      </c>
      <c r="C812" s="39" t="s">
        <v>691</v>
      </c>
      <c r="D812" s="39" t="s">
        <v>638</v>
      </c>
      <c r="E812" s="39" t="s">
        <v>657</v>
      </c>
      <c r="F812" s="39" t="s">
        <v>1818</v>
      </c>
      <c r="G812" s="39" t="s">
        <v>655</v>
      </c>
      <c r="H812" s="39" t="s">
        <v>722</v>
      </c>
      <c r="I812" s="39" t="s">
        <v>688</v>
      </c>
      <c r="J812" s="39" t="s">
        <v>678</v>
      </c>
      <c r="K812" s="39" t="s">
        <v>679</v>
      </c>
      <c r="L812" s="39" t="s">
        <v>680</v>
      </c>
      <c r="M812" s="39">
        <v>0.9</v>
      </c>
      <c r="N812" s="43"/>
    </row>
    <row r="813" customHeight="1" spans="1:14">
      <c r="A813" s="40">
        <v>453</v>
      </c>
      <c r="B813" s="41" t="s">
        <v>806</v>
      </c>
      <c r="C813" s="41" t="s">
        <v>674</v>
      </c>
      <c r="D813" s="41" t="s">
        <v>649</v>
      </c>
      <c r="E813" s="41" t="s">
        <v>651</v>
      </c>
      <c r="F813" s="41" t="s">
        <v>1819</v>
      </c>
      <c r="G813" s="41" t="s">
        <v>652</v>
      </c>
      <c r="H813" s="41" t="s">
        <v>707</v>
      </c>
      <c r="I813" s="41" t="s">
        <v>693</v>
      </c>
      <c r="J813" s="41" t="s">
        <v>709</v>
      </c>
      <c r="K813" s="41" t="s">
        <v>701</v>
      </c>
      <c r="L813" s="41" t="s">
        <v>719</v>
      </c>
      <c r="M813" s="41">
        <v>0</v>
      </c>
      <c r="N813" s="44"/>
    </row>
    <row r="814" customHeight="1" spans="1:14">
      <c r="A814" s="38">
        <v>454</v>
      </c>
      <c r="B814" s="39" t="s">
        <v>827</v>
      </c>
      <c r="C814" s="39" t="s">
        <v>674</v>
      </c>
      <c r="D814" s="39" t="s">
        <v>642</v>
      </c>
      <c r="E814" s="39" t="s">
        <v>658</v>
      </c>
      <c r="F814" s="39" t="s">
        <v>1820</v>
      </c>
      <c r="G814" s="39" t="s">
        <v>652</v>
      </c>
      <c r="H814" s="39" t="s">
        <v>676</v>
      </c>
      <c r="I814" s="39" t="s">
        <v>688</v>
      </c>
      <c r="J814" s="39" t="s">
        <v>678</v>
      </c>
      <c r="K814" s="39" t="s">
        <v>694</v>
      </c>
      <c r="L814" s="39" t="s">
        <v>719</v>
      </c>
      <c r="M814" s="39">
        <v>0</v>
      </c>
      <c r="N814" s="43"/>
    </row>
    <row r="815" customHeight="1" spans="1:14">
      <c r="A815" s="40">
        <v>455</v>
      </c>
      <c r="B815" s="41" t="s">
        <v>1283</v>
      </c>
      <c r="C815" s="41" t="s">
        <v>691</v>
      </c>
      <c r="D815" s="41" t="s">
        <v>640</v>
      </c>
      <c r="E815" s="41" t="s">
        <v>658</v>
      </c>
      <c r="F815" s="41" t="s">
        <v>1821</v>
      </c>
      <c r="G815" s="41" t="s">
        <v>655</v>
      </c>
      <c r="H815" s="41" t="s">
        <v>676</v>
      </c>
      <c r="I815" s="41" t="s">
        <v>708</v>
      </c>
      <c r="J815" s="41" t="s">
        <v>678</v>
      </c>
      <c r="K815" s="41" t="s">
        <v>701</v>
      </c>
      <c r="L815" s="41" t="s">
        <v>680</v>
      </c>
      <c r="M815" s="41">
        <v>0.9</v>
      </c>
      <c r="N815" s="44"/>
    </row>
    <row r="816" customHeight="1" spans="1:14">
      <c r="A816" s="38">
        <v>456</v>
      </c>
      <c r="B816" s="39" t="s">
        <v>809</v>
      </c>
      <c r="C816" s="39" t="s">
        <v>691</v>
      </c>
      <c r="D816" s="39" t="s">
        <v>647</v>
      </c>
      <c r="E816" s="39" t="s">
        <v>658</v>
      </c>
      <c r="F816" s="39" t="s">
        <v>1822</v>
      </c>
      <c r="G816" s="39" t="s">
        <v>652</v>
      </c>
      <c r="H816" s="39" t="s">
        <v>687</v>
      </c>
      <c r="I816" s="39" t="s">
        <v>700</v>
      </c>
      <c r="J816" s="39" t="s">
        <v>709</v>
      </c>
      <c r="K816" s="39" t="s">
        <v>701</v>
      </c>
      <c r="L816" s="39" t="s">
        <v>695</v>
      </c>
      <c r="M816" s="39">
        <v>0.6</v>
      </c>
      <c r="N816" s="43"/>
    </row>
    <row r="817" customHeight="1" spans="1:14">
      <c r="A817" s="40">
        <v>457</v>
      </c>
      <c r="B817" s="41" t="s">
        <v>982</v>
      </c>
      <c r="C817" s="41" t="s">
        <v>674</v>
      </c>
      <c r="D817" s="41" t="s">
        <v>638</v>
      </c>
      <c r="E817" s="41" t="s">
        <v>651</v>
      </c>
      <c r="F817" s="41" t="s">
        <v>1823</v>
      </c>
      <c r="G817" s="41" t="s">
        <v>654</v>
      </c>
      <c r="H817" s="41" t="s">
        <v>727</v>
      </c>
      <c r="I817" s="41" t="s">
        <v>693</v>
      </c>
      <c r="J817" s="41" t="s">
        <v>678</v>
      </c>
      <c r="K817" s="41" t="s">
        <v>732</v>
      </c>
      <c r="L817" s="41" t="s">
        <v>715</v>
      </c>
      <c r="M817" s="41">
        <v>0</v>
      </c>
      <c r="N817" s="44"/>
    </row>
    <row r="818" customHeight="1" spans="1:14">
      <c r="A818" s="38">
        <v>458</v>
      </c>
      <c r="B818" s="39" t="s">
        <v>1186</v>
      </c>
      <c r="C818" s="39" t="s">
        <v>691</v>
      </c>
      <c r="D818" s="39" t="s">
        <v>642</v>
      </c>
      <c r="E818" s="39" t="s">
        <v>658</v>
      </c>
      <c r="F818" s="39" t="s">
        <v>1824</v>
      </c>
      <c r="G818" s="39" t="s">
        <v>655</v>
      </c>
      <c r="H818" s="39" t="s">
        <v>722</v>
      </c>
      <c r="I818" s="39" t="s">
        <v>693</v>
      </c>
      <c r="J818" s="39" t="s">
        <v>678</v>
      </c>
      <c r="K818" s="39" t="s">
        <v>701</v>
      </c>
      <c r="L818" s="39" t="s">
        <v>695</v>
      </c>
      <c r="M818" s="39">
        <v>0.6</v>
      </c>
      <c r="N818" s="43"/>
    </row>
    <row r="819" customHeight="1" spans="1:14">
      <c r="A819" s="40">
        <v>459</v>
      </c>
      <c r="B819" s="41" t="s">
        <v>1029</v>
      </c>
      <c r="C819" s="41" t="s">
        <v>691</v>
      </c>
      <c r="D819" s="41" t="s">
        <v>647</v>
      </c>
      <c r="E819" s="41" t="s">
        <v>658</v>
      </c>
      <c r="F819" s="41" t="s">
        <v>1825</v>
      </c>
      <c r="G819" s="41" t="s">
        <v>652</v>
      </c>
      <c r="H819" s="41" t="s">
        <v>722</v>
      </c>
      <c r="I819" s="41" t="s">
        <v>700</v>
      </c>
      <c r="J819" s="41" t="s">
        <v>709</v>
      </c>
      <c r="K819" s="41" t="s">
        <v>701</v>
      </c>
      <c r="L819" s="41" t="s">
        <v>680</v>
      </c>
      <c r="M819" s="41">
        <v>0.9</v>
      </c>
      <c r="N819" s="44"/>
    </row>
    <row r="820" customHeight="1" spans="1:14">
      <c r="A820" s="38">
        <v>460</v>
      </c>
      <c r="B820" s="39" t="s">
        <v>806</v>
      </c>
      <c r="C820" s="39" t="s">
        <v>674</v>
      </c>
      <c r="D820" s="39" t="s">
        <v>649</v>
      </c>
      <c r="E820" s="39" t="s">
        <v>651</v>
      </c>
      <c r="F820" s="39" t="s">
        <v>1826</v>
      </c>
      <c r="G820" s="39" t="s">
        <v>654</v>
      </c>
      <c r="H820" s="39" t="s">
        <v>718</v>
      </c>
      <c r="I820" s="39" t="s">
        <v>700</v>
      </c>
      <c r="J820" s="39" t="s">
        <v>678</v>
      </c>
      <c r="K820" s="39" t="s">
        <v>701</v>
      </c>
      <c r="L820" s="39" t="s">
        <v>715</v>
      </c>
      <c r="M820" s="39">
        <v>0</v>
      </c>
      <c r="N820" s="43"/>
    </row>
    <row r="821" customHeight="1" spans="1:14">
      <c r="A821" s="40">
        <v>461</v>
      </c>
      <c r="B821" s="41" t="s">
        <v>1679</v>
      </c>
      <c r="C821" s="41" t="s">
        <v>691</v>
      </c>
      <c r="D821" s="41" t="s">
        <v>641</v>
      </c>
      <c r="E821" s="41" t="s">
        <v>657</v>
      </c>
      <c r="F821" s="41" t="s">
        <v>1827</v>
      </c>
      <c r="G821" s="41" t="s">
        <v>652</v>
      </c>
      <c r="H821" s="41" t="s">
        <v>676</v>
      </c>
      <c r="I821" s="41" t="s">
        <v>677</v>
      </c>
      <c r="J821" s="41" t="s">
        <v>678</v>
      </c>
      <c r="K821" s="41" t="s">
        <v>694</v>
      </c>
      <c r="L821" s="41" t="s">
        <v>715</v>
      </c>
      <c r="M821" s="41">
        <v>0</v>
      </c>
      <c r="N821" s="44"/>
    </row>
    <row r="822" customHeight="1" spans="1:14">
      <c r="A822" s="38">
        <v>462</v>
      </c>
      <c r="B822" s="39" t="s">
        <v>1828</v>
      </c>
      <c r="C822" s="39" t="s">
        <v>674</v>
      </c>
      <c r="D822" s="39" t="s">
        <v>641</v>
      </c>
      <c r="E822" s="39" t="s">
        <v>658</v>
      </c>
      <c r="F822" s="39" t="s">
        <v>1829</v>
      </c>
      <c r="G822" s="39" t="s">
        <v>655</v>
      </c>
      <c r="H822" s="39" t="s">
        <v>722</v>
      </c>
      <c r="I822" s="39" t="s">
        <v>677</v>
      </c>
      <c r="J822" s="39" t="s">
        <v>678</v>
      </c>
      <c r="K822" s="39" t="s">
        <v>701</v>
      </c>
      <c r="L822" s="39" t="s">
        <v>719</v>
      </c>
      <c r="M822" s="39">
        <v>0</v>
      </c>
      <c r="N822" s="43"/>
    </row>
    <row r="823" customHeight="1" spans="1:14">
      <c r="A823" s="40">
        <v>463</v>
      </c>
      <c r="B823" s="41" t="s">
        <v>1055</v>
      </c>
      <c r="C823" s="41" t="s">
        <v>691</v>
      </c>
      <c r="D823" s="41" t="s">
        <v>644</v>
      </c>
      <c r="E823" s="41" t="s">
        <v>658</v>
      </c>
      <c r="F823" s="41" t="s">
        <v>1830</v>
      </c>
      <c r="G823" s="41" t="s">
        <v>656</v>
      </c>
      <c r="H823" s="41" t="s">
        <v>707</v>
      </c>
      <c r="I823" s="41" t="s">
        <v>700</v>
      </c>
      <c r="J823" s="41" t="s">
        <v>678</v>
      </c>
      <c r="K823" s="41" t="s">
        <v>732</v>
      </c>
      <c r="L823" s="41" t="s">
        <v>719</v>
      </c>
      <c r="M823" s="41">
        <v>0</v>
      </c>
      <c r="N823" s="44"/>
    </row>
    <row r="824" customHeight="1" spans="1:14">
      <c r="A824" s="38">
        <v>464</v>
      </c>
      <c r="B824" s="39" t="s">
        <v>1807</v>
      </c>
      <c r="C824" s="39" t="s">
        <v>691</v>
      </c>
      <c r="D824" s="39" t="s">
        <v>649</v>
      </c>
      <c r="E824" s="39" t="s">
        <v>657</v>
      </c>
      <c r="F824" s="39" t="s">
        <v>1831</v>
      </c>
      <c r="G824" s="39" t="s">
        <v>654</v>
      </c>
      <c r="H824" s="39" t="s">
        <v>687</v>
      </c>
      <c r="I824" s="39" t="s">
        <v>688</v>
      </c>
      <c r="J824" s="39" t="s">
        <v>678</v>
      </c>
      <c r="K824" s="39" t="s">
        <v>694</v>
      </c>
      <c r="L824" s="39" t="s">
        <v>684</v>
      </c>
      <c r="M824" s="39">
        <v>0.85</v>
      </c>
      <c r="N824" s="43"/>
    </row>
    <row r="825" customHeight="1" spans="1:14">
      <c r="A825" s="40">
        <v>465</v>
      </c>
      <c r="B825" s="41" t="s">
        <v>1048</v>
      </c>
      <c r="C825" s="41" t="s">
        <v>691</v>
      </c>
      <c r="D825" s="41" t="s">
        <v>639</v>
      </c>
      <c r="E825" s="41" t="s">
        <v>658</v>
      </c>
      <c r="F825" s="41" t="s">
        <v>1832</v>
      </c>
      <c r="G825" s="41" t="s">
        <v>652</v>
      </c>
      <c r="H825" s="41" t="s">
        <v>718</v>
      </c>
      <c r="I825" s="41" t="s">
        <v>688</v>
      </c>
      <c r="J825" s="41" t="s">
        <v>678</v>
      </c>
      <c r="K825" s="41" t="s">
        <v>701</v>
      </c>
      <c r="L825" s="41" t="s">
        <v>715</v>
      </c>
      <c r="M825" s="41">
        <v>0</v>
      </c>
      <c r="N825" s="44"/>
    </row>
    <row r="826" customHeight="1" spans="1:14">
      <c r="A826" s="38">
        <v>466</v>
      </c>
      <c r="B826" s="39" t="s">
        <v>1556</v>
      </c>
      <c r="C826" s="39" t="s">
        <v>674</v>
      </c>
      <c r="D826" s="39" t="s">
        <v>638</v>
      </c>
      <c r="E826" s="39" t="s">
        <v>657</v>
      </c>
      <c r="F826" s="39" t="s">
        <v>1833</v>
      </c>
      <c r="G826" s="39" t="s">
        <v>652</v>
      </c>
      <c r="H826" s="39" t="s">
        <v>707</v>
      </c>
      <c r="I826" s="39" t="s">
        <v>688</v>
      </c>
      <c r="J826" s="39" t="s">
        <v>678</v>
      </c>
      <c r="K826" s="39" t="s">
        <v>679</v>
      </c>
      <c r="L826" s="39" t="s">
        <v>719</v>
      </c>
      <c r="M826" s="39">
        <v>0</v>
      </c>
      <c r="N826" s="43"/>
    </row>
    <row r="827" customHeight="1" spans="1:14">
      <c r="A827" s="40">
        <v>467</v>
      </c>
      <c r="B827" s="41" t="s">
        <v>1715</v>
      </c>
      <c r="C827" s="41" t="s">
        <v>691</v>
      </c>
      <c r="D827" s="41" t="s">
        <v>645</v>
      </c>
      <c r="E827" s="41" t="s">
        <v>658</v>
      </c>
      <c r="F827" s="41" t="s">
        <v>1834</v>
      </c>
      <c r="G827" s="41" t="s">
        <v>653</v>
      </c>
      <c r="H827" s="41" t="s">
        <v>718</v>
      </c>
      <c r="I827" s="41" t="s">
        <v>693</v>
      </c>
      <c r="J827" s="41" t="s">
        <v>678</v>
      </c>
      <c r="K827" s="41" t="s">
        <v>732</v>
      </c>
      <c r="L827" s="41" t="s">
        <v>743</v>
      </c>
      <c r="M827" s="41">
        <v>0</v>
      </c>
      <c r="N827" s="44"/>
    </row>
    <row r="828" customHeight="1" spans="1:14">
      <c r="A828" s="38">
        <v>468</v>
      </c>
      <c r="B828" s="39" t="s">
        <v>841</v>
      </c>
      <c r="C828" s="39" t="s">
        <v>691</v>
      </c>
      <c r="D828" s="39" t="s">
        <v>641</v>
      </c>
      <c r="E828" s="39" t="s">
        <v>658</v>
      </c>
      <c r="F828" s="39" t="s">
        <v>1835</v>
      </c>
      <c r="G828" s="39" t="s">
        <v>653</v>
      </c>
      <c r="H828" s="39" t="s">
        <v>722</v>
      </c>
      <c r="I828" s="39" t="s">
        <v>677</v>
      </c>
      <c r="J828" s="39" t="s">
        <v>709</v>
      </c>
      <c r="K828" s="39" t="s">
        <v>694</v>
      </c>
      <c r="L828" s="39" t="s">
        <v>684</v>
      </c>
      <c r="M828" s="39">
        <v>0.85</v>
      </c>
      <c r="N828" s="43"/>
    </row>
    <row r="829" customHeight="1" spans="1:14">
      <c r="A829" s="40">
        <v>469</v>
      </c>
      <c r="B829" s="41" t="s">
        <v>1029</v>
      </c>
      <c r="C829" s="41" t="s">
        <v>691</v>
      </c>
      <c r="D829" s="41" t="s">
        <v>647</v>
      </c>
      <c r="E829" s="41" t="s">
        <v>658</v>
      </c>
      <c r="F829" s="41" t="s">
        <v>1836</v>
      </c>
      <c r="G829" s="41" t="s">
        <v>656</v>
      </c>
      <c r="H829" s="41" t="s">
        <v>687</v>
      </c>
      <c r="I829" s="41" t="s">
        <v>708</v>
      </c>
      <c r="J829" s="41" t="s">
        <v>709</v>
      </c>
      <c r="K829" s="41" t="s">
        <v>679</v>
      </c>
      <c r="L829" s="41" t="s">
        <v>743</v>
      </c>
      <c r="M829" s="41">
        <v>0</v>
      </c>
      <c r="N829" s="44"/>
    </row>
    <row r="830" customHeight="1" spans="1:14">
      <c r="A830" s="38">
        <v>470</v>
      </c>
      <c r="B830" s="39" t="s">
        <v>772</v>
      </c>
      <c r="C830" s="39" t="s">
        <v>691</v>
      </c>
      <c r="D830" s="39" t="s">
        <v>644</v>
      </c>
      <c r="E830" s="39" t="s">
        <v>658</v>
      </c>
      <c r="F830" s="39" t="s">
        <v>1837</v>
      </c>
      <c r="G830" s="39" t="s">
        <v>656</v>
      </c>
      <c r="H830" s="39" t="s">
        <v>727</v>
      </c>
      <c r="I830" s="39" t="s">
        <v>708</v>
      </c>
      <c r="J830" s="39" t="s">
        <v>709</v>
      </c>
      <c r="K830" s="39" t="s">
        <v>710</v>
      </c>
      <c r="L830" s="39" t="s">
        <v>743</v>
      </c>
      <c r="M830" s="39">
        <v>0</v>
      </c>
      <c r="N830" s="43"/>
    </row>
    <row r="831" customHeight="1" spans="1:14">
      <c r="A831" s="40">
        <v>471</v>
      </c>
      <c r="B831" s="41" t="s">
        <v>800</v>
      </c>
      <c r="C831" s="41" t="s">
        <v>674</v>
      </c>
      <c r="D831" s="41" t="s">
        <v>641</v>
      </c>
      <c r="E831" s="41" t="s">
        <v>657</v>
      </c>
      <c r="F831" s="41" t="s">
        <v>1838</v>
      </c>
      <c r="G831" s="41" t="s">
        <v>656</v>
      </c>
      <c r="H831" s="41" t="s">
        <v>722</v>
      </c>
      <c r="I831" s="41" t="s">
        <v>708</v>
      </c>
      <c r="J831" s="41" t="s">
        <v>678</v>
      </c>
      <c r="K831" s="41" t="s">
        <v>710</v>
      </c>
      <c r="L831" s="41" t="s">
        <v>719</v>
      </c>
      <c r="M831" s="41">
        <v>0</v>
      </c>
      <c r="N831" s="44"/>
    </row>
    <row r="832" customHeight="1" spans="1:14">
      <c r="A832" s="38">
        <v>472</v>
      </c>
      <c r="B832" s="39" t="s">
        <v>1839</v>
      </c>
      <c r="C832" s="39" t="s">
        <v>691</v>
      </c>
      <c r="D832" s="39" t="s">
        <v>639</v>
      </c>
      <c r="E832" s="39" t="s">
        <v>658</v>
      </c>
      <c r="F832" s="39" t="s">
        <v>1840</v>
      </c>
      <c r="G832" s="39" t="s">
        <v>652</v>
      </c>
      <c r="H832" s="39" t="s">
        <v>727</v>
      </c>
      <c r="I832" s="39" t="s">
        <v>708</v>
      </c>
      <c r="J832" s="39" t="s">
        <v>709</v>
      </c>
      <c r="K832" s="39" t="s">
        <v>679</v>
      </c>
      <c r="L832" s="39" t="s">
        <v>695</v>
      </c>
      <c r="M832" s="39">
        <v>0.6</v>
      </c>
      <c r="N832" s="43"/>
    </row>
    <row r="833" customHeight="1" spans="1:14">
      <c r="A833" s="40">
        <v>473</v>
      </c>
      <c r="B833" s="41" t="s">
        <v>1654</v>
      </c>
      <c r="C833" s="41" t="s">
        <v>691</v>
      </c>
      <c r="D833" s="41" t="s">
        <v>647</v>
      </c>
      <c r="E833" s="41" t="s">
        <v>658</v>
      </c>
      <c r="F833" s="41" t="s">
        <v>1841</v>
      </c>
      <c r="G833" s="41" t="s">
        <v>655</v>
      </c>
      <c r="H833" s="41" t="s">
        <v>727</v>
      </c>
      <c r="I833" s="41" t="s">
        <v>688</v>
      </c>
      <c r="J833" s="41" t="s">
        <v>678</v>
      </c>
      <c r="K833" s="41" t="s">
        <v>679</v>
      </c>
      <c r="L833" s="41" t="s">
        <v>743</v>
      </c>
      <c r="M833" s="41">
        <v>0</v>
      </c>
      <c r="N833" s="44"/>
    </row>
    <row r="834" customHeight="1" spans="1:14">
      <c r="A834" s="38">
        <v>474</v>
      </c>
      <c r="B834" s="39" t="s">
        <v>1406</v>
      </c>
      <c r="C834" s="39" t="s">
        <v>691</v>
      </c>
      <c r="D834" s="39" t="s">
        <v>647</v>
      </c>
      <c r="E834" s="39" t="s">
        <v>657</v>
      </c>
      <c r="F834" s="39" t="s">
        <v>1842</v>
      </c>
      <c r="G834" s="39" t="s">
        <v>652</v>
      </c>
      <c r="H834" s="39" t="s">
        <v>707</v>
      </c>
      <c r="I834" s="39" t="s">
        <v>708</v>
      </c>
      <c r="J834" s="39" t="s">
        <v>678</v>
      </c>
      <c r="K834" s="39" t="s">
        <v>701</v>
      </c>
      <c r="L834" s="39" t="s">
        <v>695</v>
      </c>
      <c r="M834" s="39">
        <v>0.6</v>
      </c>
      <c r="N834" s="43"/>
    </row>
    <row r="835" customHeight="1" spans="1:14">
      <c r="A835" s="40">
        <v>475</v>
      </c>
      <c r="B835" s="41" t="s">
        <v>1378</v>
      </c>
      <c r="C835" s="41" t="s">
        <v>691</v>
      </c>
      <c r="D835" s="41" t="s">
        <v>639</v>
      </c>
      <c r="E835" s="41" t="s">
        <v>657</v>
      </c>
      <c r="F835" s="41" t="s">
        <v>1843</v>
      </c>
      <c r="G835" s="41" t="s">
        <v>652</v>
      </c>
      <c r="H835" s="41" t="s">
        <v>722</v>
      </c>
      <c r="I835" s="41" t="s">
        <v>693</v>
      </c>
      <c r="J835" s="41" t="s">
        <v>678</v>
      </c>
      <c r="K835" s="41" t="s">
        <v>694</v>
      </c>
      <c r="L835" s="41" t="s">
        <v>684</v>
      </c>
      <c r="M835" s="41">
        <v>0.85</v>
      </c>
      <c r="N835" s="44"/>
    </row>
    <row r="836" customHeight="1" spans="1:14">
      <c r="A836" s="38">
        <v>476</v>
      </c>
      <c r="B836" s="39" t="s">
        <v>725</v>
      </c>
      <c r="C836" s="39" t="s">
        <v>674</v>
      </c>
      <c r="D836" s="39" t="s">
        <v>642</v>
      </c>
      <c r="E836" s="39" t="s">
        <v>658</v>
      </c>
      <c r="F836" s="39" t="s">
        <v>1844</v>
      </c>
      <c r="G836" s="39" t="s">
        <v>652</v>
      </c>
      <c r="H836" s="39" t="s">
        <v>707</v>
      </c>
      <c r="I836" s="39" t="s">
        <v>688</v>
      </c>
      <c r="J836" s="39" t="s">
        <v>678</v>
      </c>
      <c r="K836" s="39" t="s">
        <v>732</v>
      </c>
      <c r="L836" s="39" t="s">
        <v>715</v>
      </c>
      <c r="M836" s="39">
        <v>0</v>
      </c>
      <c r="N836" s="43"/>
    </row>
    <row r="837" customHeight="1" spans="1:14">
      <c r="A837" s="40">
        <v>477</v>
      </c>
      <c r="B837" s="41" t="s">
        <v>1278</v>
      </c>
      <c r="C837" s="41" t="s">
        <v>691</v>
      </c>
      <c r="D837" s="41" t="s">
        <v>644</v>
      </c>
      <c r="E837" s="41" t="s">
        <v>657</v>
      </c>
      <c r="F837" s="41" t="s">
        <v>1845</v>
      </c>
      <c r="G837" s="41" t="s">
        <v>652</v>
      </c>
      <c r="H837" s="41" t="s">
        <v>676</v>
      </c>
      <c r="I837" s="41" t="s">
        <v>688</v>
      </c>
      <c r="J837" s="41" t="s">
        <v>709</v>
      </c>
      <c r="K837" s="41" t="s">
        <v>732</v>
      </c>
      <c r="L837" s="41" t="s">
        <v>680</v>
      </c>
      <c r="M837" s="41">
        <v>0.9</v>
      </c>
      <c r="N837" s="44"/>
    </row>
    <row r="838" customHeight="1" spans="1:14">
      <c r="A838" s="38">
        <v>478</v>
      </c>
      <c r="B838" s="39" t="s">
        <v>1069</v>
      </c>
      <c r="C838" s="39" t="s">
        <v>674</v>
      </c>
      <c r="D838" s="39" t="s">
        <v>640</v>
      </c>
      <c r="E838" s="39" t="s">
        <v>658</v>
      </c>
      <c r="F838" s="39" t="s">
        <v>1846</v>
      </c>
      <c r="G838" s="39" t="s">
        <v>652</v>
      </c>
      <c r="H838" s="39" t="s">
        <v>707</v>
      </c>
      <c r="I838" s="39" t="s">
        <v>688</v>
      </c>
      <c r="J838" s="39" t="s">
        <v>678</v>
      </c>
      <c r="K838" s="39" t="s">
        <v>679</v>
      </c>
      <c r="L838" s="39" t="s">
        <v>684</v>
      </c>
      <c r="M838" s="39">
        <v>0.85</v>
      </c>
      <c r="N838" s="43"/>
    </row>
    <row r="839" customHeight="1" spans="1:14">
      <c r="A839" s="40">
        <v>479</v>
      </c>
      <c r="B839" s="41" t="s">
        <v>702</v>
      </c>
      <c r="C839" s="41" t="s">
        <v>703</v>
      </c>
      <c r="D839" s="41" t="s">
        <v>647</v>
      </c>
      <c r="E839" s="41" t="s">
        <v>658</v>
      </c>
      <c r="F839" s="41" t="s">
        <v>1847</v>
      </c>
      <c r="G839" s="41" t="s">
        <v>652</v>
      </c>
      <c r="H839" s="41" t="s">
        <v>707</v>
      </c>
      <c r="I839" s="41" t="s">
        <v>677</v>
      </c>
      <c r="J839" s="41" t="s">
        <v>678</v>
      </c>
      <c r="K839" s="41" t="s">
        <v>710</v>
      </c>
      <c r="L839" s="41" t="s">
        <v>715</v>
      </c>
      <c r="M839" s="41">
        <v>0</v>
      </c>
      <c r="N839" s="44"/>
    </row>
    <row r="840" customHeight="1" spans="1:14">
      <c r="A840" s="38">
        <v>480</v>
      </c>
      <c r="B840" s="39" t="s">
        <v>1232</v>
      </c>
      <c r="C840" s="39" t="s">
        <v>691</v>
      </c>
      <c r="D840" s="39" t="s">
        <v>639</v>
      </c>
      <c r="E840" s="39" t="s">
        <v>657</v>
      </c>
      <c r="F840" s="39" t="s">
        <v>1848</v>
      </c>
      <c r="G840" s="39" t="s">
        <v>653</v>
      </c>
      <c r="H840" s="39" t="s">
        <v>722</v>
      </c>
      <c r="I840" s="39" t="s">
        <v>677</v>
      </c>
      <c r="J840" s="39" t="s">
        <v>709</v>
      </c>
      <c r="K840" s="39" t="s">
        <v>694</v>
      </c>
      <c r="L840" s="39" t="s">
        <v>680</v>
      </c>
      <c r="M840" s="39">
        <v>0.9</v>
      </c>
      <c r="N840" s="43"/>
    </row>
    <row r="841" customHeight="1" spans="1:14">
      <c r="A841" s="40">
        <v>481</v>
      </c>
      <c r="B841" s="41" t="s">
        <v>1406</v>
      </c>
      <c r="C841" s="41" t="s">
        <v>691</v>
      </c>
      <c r="D841" s="41" t="s">
        <v>647</v>
      </c>
      <c r="E841" s="41" t="s">
        <v>657</v>
      </c>
      <c r="F841" s="41" t="s">
        <v>1849</v>
      </c>
      <c r="G841" s="41" t="s">
        <v>653</v>
      </c>
      <c r="H841" s="41" t="s">
        <v>707</v>
      </c>
      <c r="I841" s="41" t="s">
        <v>693</v>
      </c>
      <c r="J841" s="41" t="s">
        <v>678</v>
      </c>
      <c r="K841" s="41" t="s">
        <v>689</v>
      </c>
      <c r="L841" s="41" t="s">
        <v>743</v>
      </c>
      <c r="M841" s="41">
        <v>0</v>
      </c>
      <c r="N841" s="44"/>
    </row>
    <row r="842" customHeight="1" spans="1:14">
      <c r="A842" s="38">
        <v>482</v>
      </c>
      <c r="B842" s="39" t="s">
        <v>1055</v>
      </c>
      <c r="C842" s="39" t="s">
        <v>691</v>
      </c>
      <c r="D842" s="39" t="s">
        <v>644</v>
      </c>
      <c r="E842" s="39" t="s">
        <v>658</v>
      </c>
      <c r="F842" s="39" t="s">
        <v>1850</v>
      </c>
      <c r="G842" s="39" t="s">
        <v>654</v>
      </c>
      <c r="H842" s="39" t="s">
        <v>718</v>
      </c>
      <c r="I842" s="39" t="s">
        <v>688</v>
      </c>
      <c r="J842" s="39" t="s">
        <v>678</v>
      </c>
      <c r="K842" s="39" t="s">
        <v>701</v>
      </c>
      <c r="L842" s="39" t="s">
        <v>680</v>
      </c>
      <c r="M842" s="39">
        <v>0.9</v>
      </c>
      <c r="N842" s="43"/>
    </row>
    <row r="843" customHeight="1" spans="1:14">
      <c r="A843" s="40">
        <v>483</v>
      </c>
      <c r="B843" s="41" t="s">
        <v>1108</v>
      </c>
      <c r="C843" s="41" t="s">
        <v>691</v>
      </c>
      <c r="D843" s="41" t="s">
        <v>645</v>
      </c>
      <c r="E843" s="41" t="s">
        <v>657</v>
      </c>
      <c r="F843" s="41" t="s">
        <v>1851</v>
      </c>
      <c r="G843" s="41" t="s">
        <v>655</v>
      </c>
      <c r="H843" s="41" t="s">
        <v>727</v>
      </c>
      <c r="I843" s="41" t="s">
        <v>693</v>
      </c>
      <c r="J843" s="41" t="s">
        <v>709</v>
      </c>
      <c r="K843" s="41" t="s">
        <v>710</v>
      </c>
      <c r="L843" s="41" t="s">
        <v>684</v>
      </c>
      <c r="M843" s="41">
        <v>0.85</v>
      </c>
      <c r="N843" s="44"/>
    </row>
    <row r="844" customHeight="1" spans="1:14">
      <c r="A844" s="38">
        <v>484</v>
      </c>
      <c r="B844" s="39" t="s">
        <v>1197</v>
      </c>
      <c r="C844" s="39" t="s">
        <v>691</v>
      </c>
      <c r="D844" s="39" t="s">
        <v>638</v>
      </c>
      <c r="E844" s="39" t="s">
        <v>657</v>
      </c>
      <c r="F844" s="39" t="s">
        <v>1852</v>
      </c>
      <c r="G844" s="39" t="s">
        <v>653</v>
      </c>
      <c r="H844" s="39" t="s">
        <v>727</v>
      </c>
      <c r="I844" s="39" t="s">
        <v>708</v>
      </c>
      <c r="J844" s="39" t="s">
        <v>709</v>
      </c>
      <c r="K844" s="39" t="s">
        <v>689</v>
      </c>
      <c r="L844" s="39" t="s">
        <v>743</v>
      </c>
      <c r="M844" s="39">
        <v>0</v>
      </c>
      <c r="N844" s="43"/>
    </row>
    <row r="845" customHeight="1" spans="1:14">
      <c r="A845" s="40">
        <v>485</v>
      </c>
      <c r="B845" s="41" t="s">
        <v>1853</v>
      </c>
      <c r="C845" s="41" t="s">
        <v>703</v>
      </c>
      <c r="D845" s="41" t="s">
        <v>647</v>
      </c>
      <c r="E845" s="41" t="s">
        <v>657</v>
      </c>
      <c r="F845" s="41" t="s">
        <v>1854</v>
      </c>
      <c r="G845" s="41" t="s">
        <v>655</v>
      </c>
      <c r="H845" s="41" t="s">
        <v>687</v>
      </c>
      <c r="I845" s="41" t="s">
        <v>677</v>
      </c>
      <c r="J845" s="41" t="s">
        <v>709</v>
      </c>
      <c r="K845" s="41" t="s">
        <v>710</v>
      </c>
      <c r="L845" s="41" t="s">
        <v>695</v>
      </c>
      <c r="M845" s="41">
        <v>0.6</v>
      </c>
      <c r="N845" s="44"/>
    </row>
    <row r="846" customHeight="1" spans="1:14">
      <c r="A846" s="38">
        <v>486</v>
      </c>
      <c r="B846" s="39" t="s">
        <v>1345</v>
      </c>
      <c r="C846" s="39" t="s">
        <v>674</v>
      </c>
      <c r="D846" s="39" t="s">
        <v>647</v>
      </c>
      <c r="E846" s="39" t="s">
        <v>658</v>
      </c>
      <c r="F846" s="39" t="s">
        <v>1855</v>
      </c>
      <c r="G846" s="39" t="s">
        <v>654</v>
      </c>
      <c r="H846" s="39" t="s">
        <v>687</v>
      </c>
      <c r="I846" s="39" t="s">
        <v>700</v>
      </c>
      <c r="J846" s="39" t="s">
        <v>678</v>
      </c>
      <c r="K846" s="39" t="s">
        <v>694</v>
      </c>
      <c r="L846" s="39" t="s">
        <v>743</v>
      </c>
      <c r="M846" s="39">
        <v>0</v>
      </c>
      <c r="N846" s="43"/>
    </row>
    <row r="847" customHeight="1" spans="1:14">
      <c r="A847" s="40">
        <v>487</v>
      </c>
      <c r="B847" s="41" t="s">
        <v>768</v>
      </c>
      <c r="C847" s="41" t="s">
        <v>674</v>
      </c>
      <c r="D847" s="41" t="s">
        <v>647</v>
      </c>
      <c r="E847" s="41" t="s">
        <v>657</v>
      </c>
      <c r="F847" s="41" t="s">
        <v>1856</v>
      </c>
      <c r="G847" s="41" t="s">
        <v>652</v>
      </c>
      <c r="H847" s="41" t="s">
        <v>722</v>
      </c>
      <c r="I847" s="41" t="s">
        <v>700</v>
      </c>
      <c r="J847" s="41" t="s">
        <v>678</v>
      </c>
      <c r="K847" s="41" t="s">
        <v>679</v>
      </c>
      <c r="L847" s="41" t="s">
        <v>684</v>
      </c>
      <c r="M847" s="41">
        <v>0.85</v>
      </c>
      <c r="N847" s="44"/>
    </row>
    <row r="848" customHeight="1" spans="1:14">
      <c r="A848" s="38">
        <v>488</v>
      </c>
      <c r="B848" s="39" t="s">
        <v>1471</v>
      </c>
      <c r="C848" s="39" t="s">
        <v>691</v>
      </c>
      <c r="D848" s="39" t="s">
        <v>647</v>
      </c>
      <c r="E848" s="39" t="s">
        <v>651</v>
      </c>
      <c r="F848" s="39" t="s">
        <v>1857</v>
      </c>
      <c r="G848" s="39" t="s">
        <v>656</v>
      </c>
      <c r="H848" s="39" t="s">
        <v>722</v>
      </c>
      <c r="I848" s="39" t="s">
        <v>693</v>
      </c>
      <c r="J848" s="39" t="s">
        <v>678</v>
      </c>
      <c r="K848" s="39" t="s">
        <v>701</v>
      </c>
      <c r="L848" s="39" t="s">
        <v>715</v>
      </c>
      <c r="M848" s="39">
        <v>0</v>
      </c>
      <c r="N848" s="43"/>
    </row>
    <row r="849" customHeight="1" spans="1:14">
      <c r="A849" s="40">
        <v>489</v>
      </c>
      <c r="B849" s="41" t="s">
        <v>1679</v>
      </c>
      <c r="C849" s="41" t="s">
        <v>691</v>
      </c>
      <c r="D849" s="41" t="s">
        <v>641</v>
      </c>
      <c r="E849" s="41" t="s">
        <v>657</v>
      </c>
      <c r="F849" s="41" t="s">
        <v>1858</v>
      </c>
      <c r="G849" s="41" t="s">
        <v>652</v>
      </c>
      <c r="H849" s="41" t="s">
        <v>687</v>
      </c>
      <c r="I849" s="41" t="s">
        <v>688</v>
      </c>
      <c r="J849" s="41" t="s">
        <v>678</v>
      </c>
      <c r="K849" s="41" t="s">
        <v>689</v>
      </c>
      <c r="L849" s="41" t="s">
        <v>715</v>
      </c>
      <c r="M849" s="41">
        <v>0</v>
      </c>
      <c r="N849" s="44"/>
    </row>
    <row r="850" customHeight="1" spans="1:14">
      <c r="A850" s="38">
        <v>490</v>
      </c>
      <c r="B850" s="39" t="s">
        <v>1239</v>
      </c>
      <c r="C850" s="39" t="s">
        <v>674</v>
      </c>
      <c r="D850" s="39" t="s">
        <v>641</v>
      </c>
      <c r="E850" s="39" t="s">
        <v>657</v>
      </c>
      <c r="F850" s="39" t="s">
        <v>1859</v>
      </c>
      <c r="G850" s="39" t="s">
        <v>655</v>
      </c>
      <c r="H850" s="39" t="s">
        <v>676</v>
      </c>
      <c r="I850" s="39" t="s">
        <v>677</v>
      </c>
      <c r="J850" s="39" t="s">
        <v>678</v>
      </c>
      <c r="K850" s="39" t="s">
        <v>701</v>
      </c>
      <c r="L850" s="39" t="s">
        <v>743</v>
      </c>
      <c r="M850" s="39">
        <v>0</v>
      </c>
      <c r="N850" s="43"/>
    </row>
    <row r="851" customHeight="1" spans="1:14">
      <c r="A851" s="40">
        <v>491</v>
      </c>
      <c r="B851" s="41" t="s">
        <v>838</v>
      </c>
      <c r="C851" s="41" t="s">
        <v>674</v>
      </c>
      <c r="D851" s="41" t="s">
        <v>645</v>
      </c>
      <c r="E851" s="41" t="s">
        <v>657</v>
      </c>
      <c r="F851" s="41" t="s">
        <v>1860</v>
      </c>
      <c r="G851" s="41" t="s">
        <v>654</v>
      </c>
      <c r="H851" s="41" t="s">
        <v>727</v>
      </c>
      <c r="I851" s="41" t="s">
        <v>688</v>
      </c>
      <c r="J851" s="41" t="s">
        <v>678</v>
      </c>
      <c r="K851" s="41" t="s">
        <v>701</v>
      </c>
      <c r="L851" s="41" t="s">
        <v>719</v>
      </c>
      <c r="M851" s="41">
        <v>0</v>
      </c>
      <c r="N851" s="44"/>
    </row>
    <row r="852" customHeight="1" spans="1:14">
      <c r="A852" s="38">
        <v>492</v>
      </c>
      <c r="B852" s="39" t="s">
        <v>1861</v>
      </c>
      <c r="C852" s="39" t="s">
        <v>674</v>
      </c>
      <c r="D852" s="39" t="s">
        <v>647</v>
      </c>
      <c r="E852" s="39" t="s">
        <v>658</v>
      </c>
      <c r="F852" s="39" t="s">
        <v>1862</v>
      </c>
      <c r="G852" s="39" t="s">
        <v>655</v>
      </c>
      <c r="H852" s="39" t="s">
        <v>687</v>
      </c>
      <c r="I852" s="39" t="s">
        <v>700</v>
      </c>
      <c r="J852" s="39" t="s">
        <v>709</v>
      </c>
      <c r="K852" s="39" t="s">
        <v>689</v>
      </c>
      <c r="L852" s="39" t="s">
        <v>743</v>
      </c>
      <c r="M852" s="39">
        <v>0</v>
      </c>
      <c r="N852" s="43"/>
    </row>
    <row r="853" customHeight="1" spans="1:14">
      <c r="A853" s="40">
        <v>493</v>
      </c>
      <c r="B853" s="41" t="s">
        <v>1195</v>
      </c>
      <c r="C853" s="41" t="s">
        <v>691</v>
      </c>
      <c r="D853" s="41" t="s">
        <v>640</v>
      </c>
      <c r="E853" s="41" t="s">
        <v>651</v>
      </c>
      <c r="F853" s="41" t="s">
        <v>1863</v>
      </c>
      <c r="G853" s="41" t="s">
        <v>652</v>
      </c>
      <c r="H853" s="41" t="s">
        <v>718</v>
      </c>
      <c r="I853" s="41" t="s">
        <v>708</v>
      </c>
      <c r="J853" s="41" t="s">
        <v>709</v>
      </c>
      <c r="K853" s="41" t="s">
        <v>701</v>
      </c>
      <c r="L853" s="41" t="s">
        <v>715</v>
      </c>
      <c r="M853" s="41">
        <v>0</v>
      </c>
      <c r="N853" s="44"/>
    </row>
    <row r="854" customHeight="1" spans="1:14">
      <c r="A854" s="38">
        <v>494</v>
      </c>
      <c r="B854" s="39" t="s">
        <v>1864</v>
      </c>
      <c r="C854" s="39" t="s">
        <v>691</v>
      </c>
      <c r="D854" s="39" t="s">
        <v>641</v>
      </c>
      <c r="E854" s="39" t="s">
        <v>657</v>
      </c>
      <c r="F854" s="39" t="s">
        <v>1865</v>
      </c>
      <c r="G854" s="39" t="s">
        <v>654</v>
      </c>
      <c r="H854" s="39" t="s">
        <v>707</v>
      </c>
      <c r="I854" s="39" t="s">
        <v>677</v>
      </c>
      <c r="J854" s="39" t="s">
        <v>678</v>
      </c>
      <c r="K854" s="39" t="s">
        <v>732</v>
      </c>
      <c r="L854" s="39" t="s">
        <v>715</v>
      </c>
      <c r="M854" s="39">
        <v>0</v>
      </c>
      <c r="N854" s="43"/>
    </row>
    <row r="855" customHeight="1" spans="1:14">
      <c r="A855" s="40">
        <v>495</v>
      </c>
      <c r="B855" s="41" t="s">
        <v>1023</v>
      </c>
      <c r="C855" s="41" t="s">
        <v>691</v>
      </c>
      <c r="D855" s="41" t="s">
        <v>649</v>
      </c>
      <c r="E855" s="41" t="s">
        <v>657</v>
      </c>
      <c r="F855" s="41" t="s">
        <v>1866</v>
      </c>
      <c r="G855" s="41" t="s">
        <v>653</v>
      </c>
      <c r="H855" s="41" t="s">
        <v>676</v>
      </c>
      <c r="I855" s="41" t="s">
        <v>677</v>
      </c>
      <c r="J855" s="41" t="s">
        <v>678</v>
      </c>
      <c r="K855" s="41" t="s">
        <v>710</v>
      </c>
      <c r="L855" s="41" t="s">
        <v>684</v>
      </c>
      <c r="M855" s="41">
        <v>0.85</v>
      </c>
      <c r="N855" s="44"/>
    </row>
    <row r="856" customHeight="1" spans="1:14">
      <c r="A856" s="38">
        <v>496</v>
      </c>
      <c r="B856" s="39" t="s">
        <v>982</v>
      </c>
      <c r="C856" s="39" t="s">
        <v>674</v>
      </c>
      <c r="D856" s="39" t="s">
        <v>638</v>
      </c>
      <c r="E856" s="39" t="s">
        <v>651</v>
      </c>
      <c r="F856" s="39" t="s">
        <v>1867</v>
      </c>
      <c r="G856" s="39" t="s">
        <v>652</v>
      </c>
      <c r="H856" s="39" t="s">
        <v>676</v>
      </c>
      <c r="I856" s="39" t="s">
        <v>677</v>
      </c>
      <c r="J856" s="39" t="s">
        <v>678</v>
      </c>
      <c r="K856" s="39" t="s">
        <v>701</v>
      </c>
      <c r="L856" s="39" t="s">
        <v>719</v>
      </c>
      <c r="M856" s="39">
        <v>0</v>
      </c>
      <c r="N856" s="43"/>
    </row>
    <row r="857" customHeight="1" spans="1:14">
      <c r="A857" s="40">
        <v>497</v>
      </c>
      <c r="B857" s="41" t="s">
        <v>800</v>
      </c>
      <c r="C857" s="41" t="s">
        <v>674</v>
      </c>
      <c r="D857" s="41" t="s">
        <v>641</v>
      </c>
      <c r="E857" s="41" t="s">
        <v>657</v>
      </c>
      <c r="F857" s="41" t="s">
        <v>1868</v>
      </c>
      <c r="G857" s="41" t="s">
        <v>652</v>
      </c>
      <c r="H857" s="41" t="s">
        <v>727</v>
      </c>
      <c r="I857" s="41" t="s">
        <v>677</v>
      </c>
      <c r="J857" s="41" t="s">
        <v>678</v>
      </c>
      <c r="K857" s="41" t="s">
        <v>732</v>
      </c>
      <c r="L857" s="41" t="s">
        <v>680</v>
      </c>
      <c r="M857" s="41">
        <v>0.9</v>
      </c>
      <c r="N857" s="44"/>
    </row>
    <row r="858" customHeight="1" spans="1:14">
      <c r="A858" s="38">
        <v>498</v>
      </c>
      <c r="B858" s="39" t="s">
        <v>1758</v>
      </c>
      <c r="C858" s="39" t="s">
        <v>691</v>
      </c>
      <c r="D858" s="39" t="s">
        <v>644</v>
      </c>
      <c r="E858" s="39" t="s">
        <v>658</v>
      </c>
      <c r="F858" s="39" t="s">
        <v>1869</v>
      </c>
      <c r="G858" s="39" t="s">
        <v>656</v>
      </c>
      <c r="H858" s="39" t="s">
        <v>718</v>
      </c>
      <c r="I858" s="39" t="s">
        <v>700</v>
      </c>
      <c r="J858" s="39" t="s">
        <v>709</v>
      </c>
      <c r="K858" s="39" t="s">
        <v>694</v>
      </c>
      <c r="L858" s="39" t="s">
        <v>684</v>
      </c>
      <c r="M858" s="39">
        <v>0.85</v>
      </c>
      <c r="N858" s="43"/>
    </row>
    <row r="859" customHeight="1" spans="1:14">
      <c r="A859" s="40">
        <v>499</v>
      </c>
      <c r="B859" s="41" t="s">
        <v>1034</v>
      </c>
      <c r="C859" s="41" t="s">
        <v>674</v>
      </c>
      <c r="D859" s="41" t="s">
        <v>647</v>
      </c>
      <c r="E859" s="41" t="s">
        <v>658</v>
      </c>
      <c r="F859" s="41" t="s">
        <v>1870</v>
      </c>
      <c r="G859" s="41" t="s">
        <v>652</v>
      </c>
      <c r="H859" s="41" t="s">
        <v>687</v>
      </c>
      <c r="I859" s="41" t="s">
        <v>708</v>
      </c>
      <c r="J859" s="41" t="s">
        <v>678</v>
      </c>
      <c r="K859" s="41" t="s">
        <v>732</v>
      </c>
      <c r="L859" s="41" t="s">
        <v>695</v>
      </c>
      <c r="M859" s="41">
        <v>0.6</v>
      </c>
      <c r="N859" s="44"/>
    </row>
    <row r="860" customHeight="1" spans="1:14">
      <c r="A860" s="38">
        <v>500</v>
      </c>
      <c r="B860" s="39" t="s">
        <v>749</v>
      </c>
      <c r="C860" s="39" t="s">
        <v>674</v>
      </c>
      <c r="D860" s="39" t="s">
        <v>639</v>
      </c>
      <c r="E860" s="39" t="s">
        <v>658</v>
      </c>
      <c r="F860" s="39" t="s">
        <v>1871</v>
      </c>
      <c r="G860" s="39" t="s">
        <v>654</v>
      </c>
      <c r="H860" s="39" t="s">
        <v>718</v>
      </c>
      <c r="I860" s="39" t="s">
        <v>688</v>
      </c>
      <c r="J860" s="39" t="s">
        <v>678</v>
      </c>
      <c r="K860" s="39" t="s">
        <v>732</v>
      </c>
      <c r="L860" s="39" t="s">
        <v>684</v>
      </c>
      <c r="M860" s="39">
        <v>0.85</v>
      </c>
      <c r="N860" s="43"/>
    </row>
    <row r="861" customHeight="1" spans="1:14">
      <c r="A861" s="40">
        <v>501</v>
      </c>
      <c r="B861" s="41" t="s">
        <v>690</v>
      </c>
      <c r="C861" s="41" t="s">
        <v>691</v>
      </c>
      <c r="D861" s="41" t="s">
        <v>638</v>
      </c>
      <c r="E861" s="41" t="s">
        <v>658</v>
      </c>
      <c r="F861" s="41" t="s">
        <v>1872</v>
      </c>
      <c r="G861" s="41" t="s">
        <v>653</v>
      </c>
      <c r="H861" s="41" t="s">
        <v>687</v>
      </c>
      <c r="I861" s="41" t="s">
        <v>677</v>
      </c>
      <c r="J861" s="41" t="s">
        <v>678</v>
      </c>
      <c r="K861" s="41" t="s">
        <v>710</v>
      </c>
      <c r="L861" s="41" t="s">
        <v>695</v>
      </c>
      <c r="M861" s="41">
        <v>0.6</v>
      </c>
      <c r="N861" s="44"/>
    </row>
    <row r="862" customHeight="1" spans="1:14">
      <c r="A862" s="38">
        <v>502</v>
      </c>
      <c r="B862" s="39" t="s">
        <v>1728</v>
      </c>
      <c r="C862" s="39" t="s">
        <v>674</v>
      </c>
      <c r="D862" s="39" t="s">
        <v>647</v>
      </c>
      <c r="E862" s="39" t="s">
        <v>658</v>
      </c>
      <c r="F862" s="39" t="s">
        <v>1873</v>
      </c>
      <c r="G862" s="39" t="s">
        <v>652</v>
      </c>
      <c r="H862" s="39" t="s">
        <v>718</v>
      </c>
      <c r="I862" s="39" t="s">
        <v>677</v>
      </c>
      <c r="J862" s="39" t="s">
        <v>709</v>
      </c>
      <c r="K862" s="39" t="s">
        <v>694</v>
      </c>
      <c r="L862" s="39" t="s">
        <v>680</v>
      </c>
      <c r="M862" s="39">
        <v>0.9</v>
      </c>
      <c r="N862" s="43"/>
    </row>
    <row r="863" customHeight="1" spans="1:14">
      <c r="A863" s="40">
        <v>503</v>
      </c>
      <c r="B863" s="41" t="s">
        <v>1397</v>
      </c>
      <c r="C863" s="41" t="s">
        <v>691</v>
      </c>
      <c r="D863" s="41" t="s">
        <v>639</v>
      </c>
      <c r="E863" s="41" t="s">
        <v>657</v>
      </c>
      <c r="F863" s="41" t="s">
        <v>1874</v>
      </c>
      <c r="G863" s="41" t="s">
        <v>656</v>
      </c>
      <c r="H863" s="41" t="s">
        <v>718</v>
      </c>
      <c r="I863" s="41" t="s">
        <v>677</v>
      </c>
      <c r="J863" s="41" t="s">
        <v>678</v>
      </c>
      <c r="K863" s="41" t="s">
        <v>732</v>
      </c>
      <c r="L863" s="41" t="s">
        <v>715</v>
      </c>
      <c r="M863" s="41">
        <v>0</v>
      </c>
      <c r="N863" s="44"/>
    </row>
    <row r="864" customHeight="1" spans="1:14">
      <c r="A864" s="38">
        <v>504</v>
      </c>
      <c r="B864" s="39" t="s">
        <v>1875</v>
      </c>
      <c r="C864" s="39" t="s">
        <v>674</v>
      </c>
      <c r="D864" s="39" t="s">
        <v>643</v>
      </c>
      <c r="E864" s="39" t="s">
        <v>657</v>
      </c>
      <c r="F864" s="39" t="s">
        <v>1876</v>
      </c>
      <c r="G864" s="39" t="s">
        <v>655</v>
      </c>
      <c r="H864" s="39" t="s">
        <v>676</v>
      </c>
      <c r="I864" s="39" t="s">
        <v>677</v>
      </c>
      <c r="J864" s="39" t="s">
        <v>709</v>
      </c>
      <c r="K864" s="39" t="s">
        <v>701</v>
      </c>
      <c r="L864" s="39" t="s">
        <v>743</v>
      </c>
      <c r="M864" s="39">
        <v>0</v>
      </c>
      <c r="N864" s="43"/>
    </row>
    <row r="865" customHeight="1" spans="1:14">
      <c r="A865" s="40">
        <v>505</v>
      </c>
      <c r="B865" s="41" t="s">
        <v>1877</v>
      </c>
      <c r="C865" s="41" t="s">
        <v>691</v>
      </c>
      <c r="D865" s="41" t="s">
        <v>639</v>
      </c>
      <c r="E865" s="41" t="s">
        <v>657</v>
      </c>
      <c r="F865" s="41" t="s">
        <v>1878</v>
      </c>
      <c r="G865" s="41" t="s">
        <v>654</v>
      </c>
      <c r="H865" s="41" t="s">
        <v>722</v>
      </c>
      <c r="I865" s="41" t="s">
        <v>693</v>
      </c>
      <c r="J865" s="41" t="s">
        <v>678</v>
      </c>
      <c r="K865" s="41" t="s">
        <v>710</v>
      </c>
      <c r="L865" s="41" t="s">
        <v>695</v>
      </c>
      <c r="M865" s="41">
        <v>0.6</v>
      </c>
      <c r="N865" s="44"/>
    </row>
    <row r="866" customHeight="1" spans="1:14">
      <c r="A866" s="38">
        <v>506</v>
      </c>
      <c r="B866" s="39" t="s">
        <v>1877</v>
      </c>
      <c r="C866" s="39" t="s">
        <v>691</v>
      </c>
      <c r="D866" s="39" t="s">
        <v>639</v>
      </c>
      <c r="E866" s="39" t="s">
        <v>657</v>
      </c>
      <c r="F866" s="39" t="s">
        <v>1879</v>
      </c>
      <c r="G866" s="39" t="s">
        <v>655</v>
      </c>
      <c r="H866" s="39" t="s">
        <v>683</v>
      </c>
      <c r="I866" s="39" t="s">
        <v>693</v>
      </c>
      <c r="J866" s="39" t="s">
        <v>678</v>
      </c>
      <c r="K866" s="39" t="s">
        <v>732</v>
      </c>
      <c r="L866" s="39" t="s">
        <v>684</v>
      </c>
      <c r="M866" s="39">
        <v>0.85</v>
      </c>
      <c r="N866" s="43"/>
    </row>
    <row r="867" customHeight="1" spans="1:14">
      <c r="A867" s="40">
        <v>507</v>
      </c>
      <c r="B867" s="41" t="s">
        <v>921</v>
      </c>
      <c r="C867" s="41" t="s">
        <v>674</v>
      </c>
      <c r="D867" s="41" t="s">
        <v>648</v>
      </c>
      <c r="E867" s="41" t="s">
        <v>658</v>
      </c>
      <c r="F867" s="41" t="s">
        <v>1880</v>
      </c>
      <c r="G867" s="41" t="s">
        <v>654</v>
      </c>
      <c r="H867" s="41" t="s">
        <v>718</v>
      </c>
      <c r="I867" s="41" t="s">
        <v>677</v>
      </c>
      <c r="J867" s="41" t="s">
        <v>678</v>
      </c>
      <c r="K867" s="41" t="s">
        <v>679</v>
      </c>
      <c r="L867" s="41" t="s">
        <v>695</v>
      </c>
      <c r="M867" s="41">
        <v>0.6</v>
      </c>
      <c r="N867" s="44"/>
    </row>
    <row r="868" customHeight="1" spans="1:14">
      <c r="A868" s="38">
        <v>508</v>
      </c>
      <c r="B868" s="39" t="s">
        <v>770</v>
      </c>
      <c r="C868" s="39" t="s">
        <v>691</v>
      </c>
      <c r="D868" s="39" t="s">
        <v>646</v>
      </c>
      <c r="E868" s="39" t="s">
        <v>651</v>
      </c>
      <c r="F868" s="39" t="s">
        <v>1881</v>
      </c>
      <c r="G868" s="39" t="s">
        <v>655</v>
      </c>
      <c r="H868" s="39" t="s">
        <v>683</v>
      </c>
      <c r="I868" s="39" t="s">
        <v>693</v>
      </c>
      <c r="J868" s="39" t="s">
        <v>678</v>
      </c>
      <c r="K868" s="39" t="s">
        <v>679</v>
      </c>
      <c r="L868" s="39" t="s">
        <v>680</v>
      </c>
      <c r="M868" s="39">
        <v>0.9</v>
      </c>
      <c r="N868" s="43"/>
    </row>
    <row r="869" customHeight="1" spans="1:14">
      <c r="A869" s="40">
        <v>509</v>
      </c>
      <c r="B869" s="41" t="s">
        <v>866</v>
      </c>
      <c r="C869" s="41" t="s">
        <v>691</v>
      </c>
      <c r="D869" s="41" t="s">
        <v>645</v>
      </c>
      <c r="E869" s="41" t="s">
        <v>658</v>
      </c>
      <c r="F869" s="41" t="s">
        <v>1882</v>
      </c>
      <c r="G869" s="41" t="s">
        <v>655</v>
      </c>
      <c r="H869" s="41" t="s">
        <v>718</v>
      </c>
      <c r="I869" s="41" t="s">
        <v>677</v>
      </c>
      <c r="J869" s="41" t="s">
        <v>709</v>
      </c>
      <c r="K869" s="41" t="s">
        <v>710</v>
      </c>
      <c r="L869" s="41" t="s">
        <v>680</v>
      </c>
      <c r="M869" s="41">
        <v>0.9</v>
      </c>
      <c r="N869" s="44"/>
    </row>
    <row r="870" customHeight="1" spans="1:14">
      <c r="A870" s="38">
        <v>510</v>
      </c>
      <c r="B870" s="39" t="s">
        <v>1179</v>
      </c>
      <c r="C870" s="39" t="s">
        <v>691</v>
      </c>
      <c r="D870" s="39" t="s">
        <v>647</v>
      </c>
      <c r="E870" s="39" t="s">
        <v>657</v>
      </c>
      <c r="F870" s="39" t="s">
        <v>1883</v>
      </c>
      <c r="G870" s="39" t="s">
        <v>653</v>
      </c>
      <c r="H870" s="39" t="s">
        <v>718</v>
      </c>
      <c r="I870" s="39" t="s">
        <v>700</v>
      </c>
      <c r="J870" s="39" t="s">
        <v>709</v>
      </c>
      <c r="K870" s="39" t="s">
        <v>732</v>
      </c>
      <c r="L870" s="39" t="s">
        <v>715</v>
      </c>
      <c r="M870" s="39">
        <v>0</v>
      </c>
      <c r="N870" s="43"/>
    </row>
    <row r="871" customHeight="1" spans="1:14">
      <c r="A871" s="40">
        <v>511</v>
      </c>
      <c r="B871" s="41" t="s">
        <v>1645</v>
      </c>
      <c r="C871" s="41" t="s">
        <v>691</v>
      </c>
      <c r="D871" s="41" t="s">
        <v>647</v>
      </c>
      <c r="E871" s="41" t="s">
        <v>657</v>
      </c>
      <c r="F871" s="41" t="s">
        <v>1884</v>
      </c>
      <c r="G871" s="41" t="s">
        <v>653</v>
      </c>
      <c r="H871" s="41" t="s">
        <v>676</v>
      </c>
      <c r="I871" s="41" t="s">
        <v>693</v>
      </c>
      <c r="J871" s="41" t="s">
        <v>678</v>
      </c>
      <c r="K871" s="41" t="s">
        <v>689</v>
      </c>
      <c r="L871" s="41" t="s">
        <v>680</v>
      </c>
      <c r="M871" s="41">
        <v>0.9</v>
      </c>
      <c r="N871" s="44"/>
    </row>
    <row r="872" customHeight="1" spans="1:14">
      <c r="A872" s="38">
        <v>512</v>
      </c>
      <c r="B872" s="39" t="s">
        <v>1071</v>
      </c>
      <c r="C872" s="39" t="s">
        <v>691</v>
      </c>
      <c r="D872" s="39" t="s">
        <v>649</v>
      </c>
      <c r="E872" s="39" t="s">
        <v>657</v>
      </c>
      <c r="F872" s="39" t="s">
        <v>1885</v>
      </c>
      <c r="G872" s="39" t="s">
        <v>656</v>
      </c>
      <c r="H872" s="39" t="s">
        <v>707</v>
      </c>
      <c r="I872" s="39" t="s">
        <v>700</v>
      </c>
      <c r="J872" s="39" t="s">
        <v>678</v>
      </c>
      <c r="K872" s="39" t="s">
        <v>689</v>
      </c>
      <c r="L872" s="39" t="s">
        <v>743</v>
      </c>
      <c r="M872" s="39">
        <v>0</v>
      </c>
      <c r="N872" s="43"/>
    </row>
    <row r="873" customHeight="1" spans="1:14">
      <c r="A873" s="40">
        <v>513</v>
      </c>
      <c r="B873" s="41" t="s">
        <v>733</v>
      </c>
      <c r="C873" s="41" t="s">
        <v>674</v>
      </c>
      <c r="D873" s="41" t="s">
        <v>648</v>
      </c>
      <c r="E873" s="41" t="s">
        <v>658</v>
      </c>
      <c r="F873" s="41" t="s">
        <v>1886</v>
      </c>
      <c r="G873" s="41" t="s">
        <v>652</v>
      </c>
      <c r="H873" s="41" t="s">
        <v>722</v>
      </c>
      <c r="I873" s="41" t="s">
        <v>708</v>
      </c>
      <c r="J873" s="41" t="s">
        <v>709</v>
      </c>
      <c r="K873" s="41" t="s">
        <v>710</v>
      </c>
      <c r="L873" s="41" t="s">
        <v>719</v>
      </c>
      <c r="M873" s="41">
        <v>0</v>
      </c>
      <c r="N873" s="44"/>
    </row>
    <row r="874" customHeight="1" spans="1:14">
      <c r="A874" s="38">
        <v>514</v>
      </c>
      <c r="B874" s="39" t="s">
        <v>1887</v>
      </c>
      <c r="C874" s="39" t="s">
        <v>674</v>
      </c>
      <c r="D874" s="39" t="s">
        <v>647</v>
      </c>
      <c r="E874" s="39" t="s">
        <v>657</v>
      </c>
      <c r="F874" s="39" t="s">
        <v>1888</v>
      </c>
      <c r="G874" s="39" t="s">
        <v>652</v>
      </c>
      <c r="H874" s="39" t="s">
        <v>687</v>
      </c>
      <c r="I874" s="39" t="s">
        <v>708</v>
      </c>
      <c r="J874" s="39" t="s">
        <v>678</v>
      </c>
      <c r="K874" s="39" t="s">
        <v>701</v>
      </c>
      <c r="L874" s="39" t="s">
        <v>715</v>
      </c>
      <c r="M874" s="39">
        <v>0</v>
      </c>
      <c r="N874" s="43"/>
    </row>
    <row r="875" customHeight="1" spans="1:14">
      <c r="A875" s="40">
        <v>515</v>
      </c>
      <c r="B875" s="41" t="s">
        <v>1051</v>
      </c>
      <c r="C875" s="41" t="s">
        <v>691</v>
      </c>
      <c r="D875" s="41" t="s">
        <v>645</v>
      </c>
      <c r="E875" s="41" t="s">
        <v>657</v>
      </c>
      <c r="F875" s="41" t="s">
        <v>1889</v>
      </c>
      <c r="G875" s="41" t="s">
        <v>656</v>
      </c>
      <c r="H875" s="41" t="s">
        <v>687</v>
      </c>
      <c r="I875" s="41" t="s">
        <v>677</v>
      </c>
      <c r="J875" s="41" t="s">
        <v>709</v>
      </c>
      <c r="K875" s="41" t="s">
        <v>679</v>
      </c>
      <c r="L875" s="41" t="s">
        <v>695</v>
      </c>
      <c r="M875" s="41">
        <v>0.6</v>
      </c>
      <c r="N875" s="44"/>
    </row>
    <row r="876" customHeight="1" spans="1:14">
      <c r="A876" s="38">
        <v>516</v>
      </c>
      <c r="B876" s="39" t="s">
        <v>1168</v>
      </c>
      <c r="C876" s="39" t="s">
        <v>674</v>
      </c>
      <c r="D876" s="39" t="s">
        <v>640</v>
      </c>
      <c r="E876" s="39" t="s">
        <v>658</v>
      </c>
      <c r="F876" s="39" t="s">
        <v>1890</v>
      </c>
      <c r="G876" s="39" t="s">
        <v>653</v>
      </c>
      <c r="H876" s="39" t="s">
        <v>727</v>
      </c>
      <c r="I876" s="39" t="s">
        <v>688</v>
      </c>
      <c r="J876" s="39" t="s">
        <v>678</v>
      </c>
      <c r="K876" s="39" t="s">
        <v>694</v>
      </c>
      <c r="L876" s="39" t="s">
        <v>743</v>
      </c>
      <c r="M876" s="39">
        <v>0</v>
      </c>
      <c r="N876" s="43"/>
    </row>
    <row r="877" customHeight="1" spans="1:14">
      <c r="A877" s="40">
        <v>517</v>
      </c>
      <c r="B877" s="41" t="s">
        <v>1738</v>
      </c>
      <c r="C877" s="41" t="s">
        <v>691</v>
      </c>
      <c r="D877" s="41" t="s">
        <v>648</v>
      </c>
      <c r="E877" s="41" t="s">
        <v>658</v>
      </c>
      <c r="F877" s="41" t="s">
        <v>1891</v>
      </c>
      <c r="G877" s="41" t="s">
        <v>653</v>
      </c>
      <c r="H877" s="41" t="s">
        <v>687</v>
      </c>
      <c r="I877" s="41" t="s">
        <v>693</v>
      </c>
      <c r="J877" s="41" t="s">
        <v>678</v>
      </c>
      <c r="K877" s="41" t="s">
        <v>732</v>
      </c>
      <c r="L877" s="41" t="s">
        <v>695</v>
      </c>
      <c r="M877" s="41">
        <v>0.6</v>
      </c>
      <c r="N877" s="44"/>
    </row>
    <row r="878" customHeight="1" spans="1:14">
      <c r="A878" s="38">
        <v>518</v>
      </c>
      <c r="B878" s="39" t="s">
        <v>1652</v>
      </c>
      <c r="C878" s="39" t="s">
        <v>691</v>
      </c>
      <c r="D878" s="39" t="s">
        <v>642</v>
      </c>
      <c r="E878" s="39" t="s">
        <v>658</v>
      </c>
      <c r="F878" s="39" t="s">
        <v>1892</v>
      </c>
      <c r="G878" s="39" t="s">
        <v>654</v>
      </c>
      <c r="H878" s="39" t="s">
        <v>718</v>
      </c>
      <c r="I878" s="39" t="s">
        <v>700</v>
      </c>
      <c r="J878" s="39" t="s">
        <v>678</v>
      </c>
      <c r="K878" s="39" t="s">
        <v>732</v>
      </c>
      <c r="L878" s="39" t="s">
        <v>695</v>
      </c>
      <c r="M878" s="39">
        <v>0.6</v>
      </c>
      <c r="N878" s="43"/>
    </row>
    <row r="879" customHeight="1" spans="1:14">
      <c r="A879" s="40">
        <v>519</v>
      </c>
      <c r="B879" s="41" t="s">
        <v>901</v>
      </c>
      <c r="C879" s="41" t="s">
        <v>691</v>
      </c>
      <c r="D879" s="41" t="s">
        <v>638</v>
      </c>
      <c r="E879" s="41" t="s">
        <v>658</v>
      </c>
      <c r="F879" s="41" t="s">
        <v>1893</v>
      </c>
      <c r="G879" s="41" t="s">
        <v>655</v>
      </c>
      <c r="H879" s="41" t="s">
        <v>722</v>
      </c>
      <c r="I879" s="41" t="s">
        <v>693</v>
      </c>
      <c r="J879" s="41" t="s">
        <v>709</v>
      </c>
      <c r="K879" s="41" t="s">
        <v>732</v>
      </c>
      <c r="L879" s="41" t="s">
        <v>695</v>
      </c>
      <c r="M879" s="41">
        <v>0.6</v>
      </c>
      <c r="N879" s="44"/>
    </row>
    <row r="880" customHeight="1" spans="1:14">
      <c r="A880" s="38">
        <v>520</v>
      </c>
      <c r="B880" s="39" t="s">
        <v>977</v>
      </c>
      <c r="C880" s="39" t="s">
        <v>691</v>
      </c>
      <c r="D880" s="39" t="s">
        <v>647</v>
      </c>
      <c r="E880" s="39" t="s">
        <v>657</v>
      </c>
      <c r="F880" s="39" t="s">
        <v>1894</v>
      </c>
      <c r="G880" s="39" t="s">
        <v>656</v>
      </c>
      <c r="H880" s="39" t="s">
        <v>676</v>
      </c>
      <c r="I880" s="39" t="s">
        <v>693</v>
      </c>
      <c r="J880" s="39" t="s">
        <v>709</v>
      </c>
      <c r="K880" s="39" t="s">
        <v>679</v>
      </c>
      <c r="L880" s="39" t="s">
        <v>680</v>
      </c>
      <c r="M880" s="39">
        <v>0.9</v>
      </c>
      <c r="N880" s="43"/>
    </row>
    <row r="881" customHeight="1" spans="1:14">
      <c r="A881" s="40">
        <v>521</v>
      </c>
      <c r="B881" s="41" t="s">
        <v>915</v>
      </c>
      <c r="C881" s="41" t="s">
        <v>691</v>
      </c>
      <c r="D881" s="41" t="s">
        <v>639</v>
      </c>
      <c r="E881" s="41" t="s">
        <v>658</v>
      </c>
      <c r="F881" s="41" t="s">
        <v>1895</v>
      </c>
      <c r="G881" s="41" t="s">
        <v>653</v>
      </c>
      <c r="H881" s="41" t="s">
        <v>683</v>
      </c>
      <c r="I881" s="41" t="s">
        <v>693</v>
      </c>
      <c r="J881" s="41" t="s">
        <v>709</v>
      </c>
      <c r="K881" s="41" t="s">
        <v>694</v>
      </c>
      <c r="L881" s="41" t="s">
        <v>680</v>
      </c>
      <c r="M881" s="41">
        <v>0.9</v>
      </c>
      <c r="N881" s="44"/>
    </row>
    <row r="882" customHeight="1" spans="1:14">
      <c r="A882" s="38">
        <v>522</v>
      </c>
      <c r="B882" s="39" t="s">
        <v>1606</v>
      </c>
      <c r="C882" s="39" t="s">
        <v>674</v>
      </c>
      <c r="D882" s="39" t="s">
        <v>638</v>
      </c>
      <c r="E882" s="39" t="s">
        <v>651</v>
      </c>
      <c r="F882" s="39" t="s">
        <v>1896</v>
      </c>
      <c r="G882" s="39" t="s">
        <v>653</v>
      </c>
      <c r="H882" s="39" t="s">
        <v>676</v>
      </c>
      <c r="I882" s="39" t="s">
        <v>677</v>
      </c>
      <c r="J882" s="39" t="s">
        <v>709</v>
      </c>
      <c r="K882" s="39" t="s">
        <v>689</v>
      </c>
      <c r="L882" s="39" t="s">
        <v>743</v>
      </c>
      <c r="M882" s="39">
        <v>0</v>
      </c>
      <c r="N882" s="43"/>
    </row>
    <row r="883" customHeight="1" spans="1:14">
      <c r="A883" s="40">
        <v>523</v>
      </c>
      <c r="B883" s="41" t="s">
        <v>1897</v>
      </c>
      <c r="C883" s="41" t="s">
        <v>674</v>
      </c>
      <c r="D883" s="41" t="s">
        <v>644</v>
      </c>
      <c r="E883" s="41" t="s">
        <v>658</v>
      </c>
      <c r="F883" s="41" t="s">
        <v>1898</v>
      </c>
      <c r="G883" s="41" t="s">
        <v>655</v>
      </c>
      <c r="H883" s="41" t="s">
        <v>676</v>
      </c>
      <c r="I883" s="41" t="s">
        <v>708</v>
      </c>
      <c r="J883" s="41" t="s">
        <v>709</v>
      </c>
      <c r="K883" s="41" t="s">
        <v>710</v>
      </c>
      <c r="L883" s="41" t="s">
        <v>695</v>
      </c>
      <c r="M883" s="41">
        <v>0.6</v>
      </c>
      <c r="N883" s="44"/>
    </row>
    <row r="884" customHeight="1" spans="1:14">
      <c r="A884" s="38">
        <v>524</v>
      </c>
      <c r="B884" s="39" t="s">
        <v>1606</v>
      </c>
      <c r="C884" s="39" t="s">
        <v>674</v>
      </c>
      <c r="D884" s="39" t="s">
        <v>638</v>
      </c>
      <c r="E884" s="39" t="s">
        <v>651</v>
      </c>
      <c r="F884" s="39" t="s">
        <v>1899</v>
      </c>
      <c r="G884" s="39" t="s">
        <v>656</v>
      </c>
      <c r="H884" s="39" t="s">
        <v>722</v>
      </c>
      <c r="I884" s="39" t="s">
        <v>677</v>
      </c>
      <c r="J884" s="39" t="s">
        <v>678</v>
      </c>
      <c r="K884" s="39" t="s">
        <v>732</v>
      </c>
      <c r="L884" s="39" t="s">
        <v>719</v>
      </c>
      <c r="M884" s="39">
        <v>0</v>
      </c>
      <c r="N884" s="43"/>
    </row>
    <row r="885" customHeight="1" spans="1:14">
      <c r="A885" s="40">
        <v>525</v>
      </c>
      <c r="B885" s="41" t="s">
        <v>1900</v>
      </c>
      <c r="C885" s="41" t="s">
        <v>691</v>
      </c>
      <c r="D885" s="41" t="s">
        <v>641</v>
      </c>
      <c r="E885" s="41" t="s">
        <v>657</v>
      </c>
      <c r="F885" s="41" t="s">
        <v>1901</v>
      </c>
      <c r="G885" s="41" t="s">
        <v>652</v>
      </c>
      <c r="H885" s="41" t="s">
        <v>718</v>
      </c>
      <c r="I885" s="41" t="s">
        <v>677</v>
      </c>
      <c r="J885" s="41" t="s">
        <v>709</v>
      </c>
      <c r="K885" s="41" t="s">
        <v>710</v>
      </c>
      <c r="L885" s="41" t="s">
        <v>680</v>
      </c>
      <c r="M885" s="41">
        <v>0.9</v>
      </c>
      <c r="N885" s="44"/>
    </row>
    <row r="886" customHeight="1" spans="1:14">
      <c r="A886" s="38">
        <v>526</v>
      </c>
      <c r="B886" s="39" t="s">
        <v>1258</v>
      </c>
      <c r="C886" s="39" t="s">
        <v>691</v>
      </c>
      <c r="D886" s="39" t="s">
        <v>640</v>
      </c>
      <c r="E886" s="39" t="s">
        <v>658</v>
      </c>
      <c r="F886" s="39" t="s">
        <v>1902</v>
      </c>
      <c r="G886" s="39" t="s">
        <v>653</v>
      </c>
      <c r="H886" s="39" t="s">
        <v>722</v>
      </c>
      <c r="I886" s="39" t="s">
        <v>688</v>
      </c>
      <c r="J886" s="39" t="s">
        <v>678</v>
      </c>
      <c r="K886" s="39" t="s">
        <v>689</v>
      </c>
      <c r="L886" s="39" t="s">
        <v>695</v>
      </c>
      <c r="M886" s="39">
        <v>0.6</v>
      </c>
      <c r="N886" s="43"/>
    </row>
    <row r="887" customHeight="1" spans="1:14">
      <c r="A887" s="40">
        <v>527</v>
      </c>
      <c r="B887" s="41" t="s">
        <v>946</v>
      </c>
      <c r="C887" s="41" t="s">
        <v>691</v>
      </c>
      <c r="D887" s="41" t="s">
        <v>641</v>
      </c>
      <c r="E887" s="41" t="s">
        <v>657</v>
      </c>
      <c r="F887" s="41" t="s">
        <v>1903</v>
      </c>
      <c r="G887" s="41" t="s">
        <v>656</v>
      </c>
      <c r="H887" s="41" t="s">
        <v>683</v>
      </c>
      <c r="I887" s="41" t="s">
        <v>700</v>
      </c>
      <c r="J887" s="41" t="s">
        <v>678</v>
      </c>
      <c r="K887" s="41" t="s">
        <v>679</v>
      </c>
      <c r="L887" s="41" t="s">
        <v>695</v>
      </c>
      <c r="M887" s="41">
        <v>0.6</v>
      </c>
      <c r="N887" s="44"/>
    </row>
    <row r="888" customHeight="1" spans="1:14">
      <c r="A888" s="38">
        <v>528</v>
      </c>
      <c r="B888" s="39" t="s">
        <v>849</v>
      </c>
      <c r="C888" s="39" t="s">
        <v>691</v>
      </c>
      <c r="D888" s="39" t="s">
        <v>646</v>
      </c>
      <c r="E888" s="39" t="s">
        <v>657</v>
      </c>
      <c r="F888" s="39" t="s">
        <v>1904</v>
      </c>
      <c r="G888" s="39" t="s">
        <v>656</v>
      </c>
      <c r="H888" s="39" t="s">
        <v>707</v>
      </c>
      <c r="I888" s="39" t="s">
        <v>700</v>
      </c>
      <c r="J888" s="39" t="s">
        <v>678</v>
      </c>
      <c r="K888" s="39" t="s">
        <v>694</v>
      </c>
      <c r="L888" s="39" t="s">
        <v>715</v>
      </c>
      <c r="M888" s="39">
        <v>0</v>
      </c>
      <c r="N888" s="43"/>
    </row>
    <row r="889" customHeight="1" spans="1:14">
      <c r="A889" s="40">
        <v>529</v>
      </c>
      <c r="B889" s="41" t="s">
        <v>806</v>
      </c>
      <c r="C889" s="41" t="s">
        <v>674</v>
      </c>
      <c r="D889" s="41" t="s">
        <v>649</v>
      </c>
      <c r="E889" s="41" t="s">
        <v>651</v>
      </c>
      <c r="F889" s="41" t="s">
        <v>1905</v>
      </c>
      <c r="G889" s="41" t="s">
        <v>653</v>
      </c>
      <c r="H889" s="41" t="s">
        <v>683</v>
      </c>
      <c r="I889" s="41" t="s">
        <v>708</v>
      </c>
      <c r="J889" s="41" t="s">
        <v>678</v>
      </c>
      <c r="K889" s="41" t="s">
        <v>710</v>
      </c>
      <c r="L889" s="41" t="s">
        <v>695</v>
      </c>
      <c r="M889" s="41">
        <v>0.6</v>
      </c>
      <c r="N889" s="44"/>
    </row>
    <row r="890" customHeight="1" spans="1:14">
      <c r="A890" s="38">
        <v>530</v>
      </c>
      <c r="B890" s="39" t="s">
        <v>1294</v>
      </c>
      <c r="C890" s="39" t="s">
        <v>691</v>
      </c>
      <c r="D890" s="39" t="s">
        <v>639</v>
      </c>
      <c r="E890" s="39" t="s">
        <v>658</v>
      </c>
      <c r="F890" s="39" t="s">
        <v>1906</v>
      </c>
      <c r="G890" s="39" t="s">
        <v>652</v>
      </c>
      <c r="H890" s="39" t="s">
        <v>687</v>
      </c>
      <c r="I890" s="39" t="s">
        <v>688</v>
      </c>
      <c r="J890" s="39" t="s">
        <v>678</v>
      </c>
      <c r="K890" s="39" t="s">
        <v>679</v>
      </c>
      <c r="L890" s="39" t="s">
        <v>715</v>
      </c>
      <c r="M890" s="39">
        <v>0</v>
      </c>
      <c r="N890" s="43"/>
    </row>
    <row r="891" customHeight="1" spans="1:14">
      <c r="A891" s="40">
        <v>531</v>
      </c>
      <c r="B891" s="41" t="s">
        <v>1225</v>
      </c>
      <c r="C891" s="41" t="s">
        <v>691</v>
      </c>
      <c r="D891" s="41" t="s">
        <v>641</v>
      </c>
      <c r="E891" s="41" t="s">
        <v>658</v>
      </c>
      <c r="F891" s="41" t="s">
        <v>1907</v>
      </c>
      <c r="G891" s="41" t="s">
        <v>654</v>
      </c>
      <c r="H891" s="41" t="s">
        <v>676</v>
      </c>
      <c r="I891" s="41" t="s">
        <v>688</v>
      </c>
      <c r="J891" s="41" t="s">
        <v>678</v>
      </c>
      <c r="K891" s="41" t="s">
        <v>710</v>
      </c>
      <c r="L891" s="41" t="s">
        <v>715</v>
      </c>
      <c r="M891" s="41">
        <v>0</v>
      </c>
      <c r="N891" s="44"/>
    </row>
    <row r="892" customHeight="1" spans="1:14">
      <c r="A892" s="38">
        <v>532</v>
      </c>
      <c r="B892" s="39" t="s">
        <v>1051</v>
      </c>
      <c r="C892" s="39" t="s">
        <v>691</v>
      </c>
      <c r="D892" s="39" t="s">
        <v>645</v>
      </c>
      <c r="E892" s="39" t="s">
        <v>657</v>
      </c>
      <c r="F892" s="39" t="s">
        <v>1908</v>
      </c>
      <c r="G892" s="39" t="s">
        <v>652</v>
      </c>
      <c r="H892" s="39" t="s">
        <v>718</v>
      </c>
      <c r="I892" s="39" t="s">
        <v>708</v>
      </c>
      <c r="J892" s="39" t="s">
        <v>678</v>
      </c>
      <c r="K892" s="39" t="s">
        <v>679</v>
      </c>
      <c r="L892" s="39" t="s">
        <v>719</v>
      </c>
      <c r="M892" s="39">
        <v>0</v>
      </c>
      <c r="N892" s="43"/>
    </row>
    <row r="893" customHeight="1" spans="1:14">
      <c r="A893" s="40">
        <v>533</v>
      </c>
      <c r="B893" s="41" t="s">
        <v>1271</v>
      </c>
      <c r="C893" s="41" t="s">
        <v>691</v>
      </c>
      <c r="D893" s="41" t="s">
        <v>641</v>
      </c>
      <c r="E893" s="41" t="s">
        <v>658</v>
      </c>
      <c r="F893" s="41" t="s">
        <v>1909</v>
      </c>
      <c r="G893" s="41" t="s">
        <v>654</v>
      </c>
      <c r="H893" s="41" t="s">
        <v>718</v>
      </c>
      <c r="I893" s="41" t="s">
        <v>693</v>
      </c>
      <c r="J893" s="41" t="s">
        <v>678</v>
      </c>
      <c r="K893" s="41" t="s">
        <v>689</v>
      </c>
      <c r="L893" s="41" t="s">
        <v>680</v>
      </c>
      <c r="M893" s="41">
        <v>0.9</v>
      </c>
      <c r="N893" s="44"/>
    </row>
    <row r="894" customHeight="1" spans="1:14">
      <c r="A894" s="38">
        <v>534</v>
      </c>
      <c r="B894" s="39" t="s">
        <v>982</v>
      </c>
      <c r="C894" s="39" t="s">
        <v>674</v>
      </c>
      <c r="D894" s="39" t="s">
        <v>638</v>
      </c>
      <c r="E894" s="39" t="s">
        <v>651</v>
      </c>
      <c r="F894" s="39" t="s">
        <v>1910</v>
      </c>
      <c r="G894" s="39" t="s">
        <v>652</v>
      </c>
      <c r="H894" s="39" t="s">
        <v>683</v>
      </c>
      <c r="I894" s="39" t="s">
        <v>693</v>
      </c>
      <c r="J894" s="39" t="s">
        <v>709</v>
      </c>
      <c r="K894" s="39" t="s">
        <v>732</v>
      </c>
      <c r="L894" s="39" t="s">
        <v>680</v>
      </c>
      <c r="M894" s="39">
        <v>0.9</v>
      </c>
      <c r="N894" s="43"/>
    </row>
    <row r="895" customHeight="1" spans="1:14">
      <c r="A895" s="40">
        <v>535</v>
      </c>
      <c r="B895" s="41" t="s">
        <v>1784</v>
      </c>
      <c r="C895" s="41" t="s">
        <v>674</v>
      </c>
      <c r="D895" s="41" t="s">
        <v>640</v>
      </c>
      <c r="E895" s="41" t="s">
        <v>658</v>
      </c>
      <c r="F895" s="41" t="s">
        <v>1911</v>
      </c>
      <c r="G895" s="41" t="s">
        <v>653</v>
      </c>
      <c r="H895" s="41" t="s">
        <v>707</v>
      </c>
      <c r="I895" s="41" t="s">
        <v>688</v>
      </c>
      <c r="J895" s="41" t="s">
        <v>678</v>
      </c>
      <c r="K895" s="41" t="s">
        <v>689</v>
      </c>
      <c r="L895" s="41" t="s">
        <v>715</v>
      </c>
      <c r="M895" s="41">
        <v>0</v>
      </c>
      <c r="N895" s="44"/>
    </row>
    <row r="896" customHeight="1" spans="1:14">
      <c r="A896" s="38">
        <v>536</v>
      </c>
      <c r="B896" s="39" t="s">
        <v>1715</v>
      </c>
      <c r="C896" s="39" t="s">
        <v>691</v>
      </c>
      <c r="D896" s="39" t="s">
        <v>645</v>
      </c>
      <c r="E896" s="39" t="s">
        <v>658</v>
      </c>
      <c r="F896" s="39" t="s">
        <v>1912</v>
      </c>
      <c r="G896" s="39" t="s">
        <v>655</v>
      </c>
      <c r="H896" s="39" t="s">
        <v>683</v>
      </c>
      <c r="I896" s="39" t="s">
        <v>693</v>
      </c>
      <c r="J896" s="39" t="s">
        <v>709</v>
      </c>
      <c r="K896" s="39" t="s">
        <v>701</v>
      </c>
      <c r="L896" s="39" t="s">
        <v>684</v>
      </c>
      <c r="M896" s="39">
        <v>0.85</v>
      </c>
      <c r="N896" s="43"/>
    </row>
    <row r="897" customHeight="1" spans="1:14">
      <c r="A897" s="40">
        <v>537</v>
      </c>
      <c r="B897" s="41" t="s">
        <v>720</v>
      </c>
      <c r="C897" s="41" t="s">
        <v>691</v>
      </c>
      <c r="D897" s="41" t="s">
        <v>646</v>
      </c>
      <c r="E897" s="41" t="s">
        <v>658</v>
      </c>
      <c r="F897" s="41" t="s">
        <v>1913</v>
      </c>
      <c r="G897" s="41" t="s">
        <v>652</v>
      </c>
      <c r="H897" s="41" t="s">
        <v>718</v>
      </c>
      <c r="I897" s="41" t="s">
        <v>677</v>
      </c>
      <c r="J897" s="41" t="s">
        <v>678</v>
      </c>
      <c r="K897" s="41" t="s">
        <v>701</v>
      </c>
      <c r="L897" s="41" t="s">
        <v>684</v>
      </c>
      <c r="M897" s="41">
        <v>0.85</v>
      </c>
      <c r="N897" s="44"/>
    </row>
    <row r="898" customHeight="1" spans="1:14">
      <c r="A898" s="38">
        <v>538</v>
      </c>
      <c r="B898" s="39" t="s">
        <v>923</v>
      </c>
      <c r="C898" s="39" t="s">
        <v>674</v>
      </c>
      <c r="D898" s="39" t="s">
        <v>641</v>
      </c>
      <c r="E898" s="39" t="s">
        <v>658</v>
      </c>
      <c r="F898" s="39" t="s">
        <v>1914</v>
      </c>
      <c r="G898" s="39" t="s">
        <v>654</v>
      </c>
      <c r="H898" s="39" t="s">
        <v>676</v>
      </c>
      <c r="I898" s="39" t="s">
        <v>677</v>
      </c>
      <c r="J898" s="39" t="s">
        <v>678</v>
      </c>
      <c r="K898" s="39" t="s">
        <v>694</v>
      </c>
      <c r="L898" s="39" t="s">
        <v>680</v>
      </c>
      <c r="M898" s="39">
        <v>0.9</v>
      </c>
      <c r="N898" s="43"/>
    </row>
    <row r="899" customHeight="1" spans="1:14">
      <c r="A899" s="40">
        <v>539</v>
      </c>
      <c r="B899" s="41" t="s">
        <v>1087</v>
      </c>
      <c r="C899" s="41" t="s">
        <v>691</v>
      </c>
      <c r="D899" s="41" t="s">
        <v>641</v>
      </c>
      <c r="E899" s="41" t="s">
        <v>658</v>
      </c>
      <c r="F899" s="41" t="s">
        <v>1915</v>
      </c>
      <c r="G899" s="41" t="s">
        <v>654</v>
      </c>
      <c r="H899" s="41" t="s">
        <v>683</v>
      </c>
      <c r="I899" s="41" t="s">
        <v>677</v>
      </c>
      <c r="J899" s="41" t="s">
        <v>678</v>
      </c>
      <c r="K899" s="41" t="s">
        <v>679</v>
      </c>
      <c r="L899" s="41" t="s">
        <v>715</v>
      </c>
      <c r="M899" s="41">
        <v>0</v>
      </c>
      <c r="N899" s="44"/>
    </row>
    <row r="900" customHeight="1" spans="1:14">
      <c r="A900" s="38">
        <v>540</v>
      </c>
      <c r="B900" s="39" t="s">
        <v>778</v>
      </c>
      <c r="C900" s="39" t="s">
        <v>691</v>
      </c>
      <c r="D900" s="39" t="s">
        <v>646</v>
      </c>
      <c r="E900" s="39" t="s">
        <v>651</v>
      </c>
      <c r="F900" s="39" t="s">
        <v>1916</v>
      </c>
      <c r="G900" s="39" t="s">
        <v>653</v>
      </c>
      <c r="H900" s="39" t="s">
        <v>727</v>
      </c>
      <c r="I900" s="39" t="s">
        <v>700</v>
      </c>
      <c r="J900" s="39" t="s">
        <v>678</v>
      </c>
      <c r="K900" s="39" t="s">
        <v>732</v>
      </c>
      <c r="L900" s="39" t="s">
        <v>719</v>
      </c>
      <c r="M900" s="39">
        <v>0</v>
      </c>
      <c r="N900" s="43"/>
    </row>
    <row r="901" customHeight="1" spans="1:14">
      <c r="A901" s="40">
        <v>541</v>
      </c>
      <c r="B901" s="41" t="s">
        <v>1260</v>
      </c>
      <c r="C901" s="41" t="s">
        <v>691</v>
      </c>
      <c r="D901" s="41" t="s">
        <v>646</v>
      </c>
      <c r="E901" s="41" t="s">
        <v>651</v>
      </c>
      <c r="F901" s="41" t="s">
        <v>1917</v>
      </c>
      <c r="G901" s="41" t="s">
        <v>656</v>
      </c>
      <c r="H901" s="41" t="s">
        <v>727</v>
      </c>
      <c r="I901" s="41" t="s">
        <v>677</v>
      </c>
      <c r="J901" s="41" t="s">
        <v>709</v>
      </c>
      <c r="K901" s="41" t="s">
        <v>732</v>
      </c>
      <c r="L901" s="41" t="s">
        <v>680</v>
      </c>
      <c r="M901" s="41">
        <v>0.9</v>
      </c>
      <c r="N901" s="44"/>
    </row>
    <row r="902" customHeight="1" spans="1:14">
      <c r="A902" s="38">
        <v>542</v>
      </c>
      <c r="B902" s="39" t="s">
        <v>1232</v>
      </c>
      <c r="C902" s="39" t="s">
        <v>691</v>
      </c>
      <c r="D902" s="39" t="s">
        <v>639</v>
      </c>
      <c r="E902" s="39" t="s">
        <v>657</v>
      </c>
      <c r="F902" s="39" t="s">
        <v>1918</v>
      </c>
      <c r="G902" s="39" t="s">
        <v>652</v>
      </c>
      <c r="H902" s="39" t="s">
        <v>707</v>
      </c>
      <c r="I902" s="39" t="s">
        <v>700</v>
      </c>
      <c r="J902" s="39" t="s">
        <v>709</v>
      </c>
      <c r="K902" s="39" t="s">
        <v>732</v>
      </c>
      <c r="L902" s="39" t="s">
        <v>680</v>
      </c>
      <c r="M902" s="39">
        <v>0.9</v>
      </c>
      <c r="N902" s="43"/>
    </row>
    <row r="903" customHeight="1" spans="1:14">
      <c r="A903" s="40">
        <v>543</v>
      </c>
      <c r="B903" s="41" t="s">
        <v>1635</v>
      </c>
      <c r="C903" s="41" t="s">
        <v>691</v>
      </c>
      <c r="D903" s="41" t="s">
        <v>641</v>
      </c>
      <c r="E903" s="41" t="s">
        <v>658</v>
      </c>
      <c r="F903" s="41" t="s">
        <v>1919</v>
      </c>
      <c r="G903" s="41" t="s">
        <v>653</v>
      </c>
      <c r="H903" s="41" t="s">
        <v>676</v>
      </c>
      <c r="I903" s="41" t="s">
        <v>677</v>
      </c>
      <c r="J903" s="41" t="s">
        <v>678</v>
      </c>
      <c r="K903" s="41" t="s">
        <v>701</v>
      </c>
      <c r="L903" s="41" t="s">
        <v>719</v>
      </c>
      <c r="M903" s="41">
        <v>0</v>
      </c>
      <c r="N903" s="44"/>
    </row>
    <row r="904" customHeight="1" spans="1:14">
      <c r="A904" s="38">
        <v>544</v>
      </c>
      <c r="B904" s="39" t="s">
        <v>841</v>
      </c>
      <c r="C904" s="39" t="s">
        <v>691</v>
      </c>
      <c r="D904" s="39" t="s">
        <v>641</v>
      </c>
      <c r="E904" s="39" t="s">
        <v>658</v>
      </c>
      <c r="F904" s="39" t="s">
        <v>1920</v>
      </c>
      <c r="G904" s="39" t="s">
        <v>655</v>
      </c>
      <c r="H904" s="39" t="s">
        <v>727</v>
      </c>
      <c r="I904" s="39" t="s">
        <v>708</v>
      </c>
      <c r="J904" s="39" t="s">
        <v>678</v>
      </c>
      <c r="K904" s="39" t="s">
        <v>710</v>
      </c>
      <c r="L904" s="39" t="s">
        <v>680</v>
      </c>
      <c r="M904" s="39">
        <v>0.9</v>
      </c>
      <c r="N904" s="43"/>
    </row>
    <row r="905" customHeight="1" spans="1:14">
      <c r="A905" s="40">
        <v>545</v>
      </c>
      <c r="B905" s="41" t="s">
        <v>1921</v>
      </c>
      <c r="C905" s="41" t="s">
        <v>691</v>
      </c>
      <c r="D905" s="41" t="s">
        <v>640</v>
      </c>
      <c r="E905" s="41" t="s">
        <v>657</v>
      </c>
      <c r="F905" s="41" t="s">
        <v>1922</v>
      </c>
      <c r="G905" s="41" t="s">
        <v>655</v>
      </c>
      <c r="H905" s="41" t="s">
        <v>727</v>
      </c>
      <c r="I905" s="41" t="s">
        <v>688</v>
      </c>
      <c r="J905" s="41" t="s">
        <v>678</v>
      </c>
      <c r="K905" s="41" t="s">
        <v>679</v>
      </c>
      <c r="L905" s="41" t="s">
        <v>743</v>
      </c>
      <c r="M905" s="41">
        <v>0</v>
      </c>
      <c r="N905" s="44"/>
    </row>
    <row r="906" customHeight="1" spans="1:14">
      <c r="A906" s="38">
        <v>546</v>
      </c>
      <c r="B906" s="39" t="s">
        <v>766</v>
      </c>
      <c r="C906" s="39" t="s">
        <v>691</v>
      </c>
      <c r="D906" s="39" t="s">
        <v>647</v>
      </c>
      <c r="E906" s="39" t="s">
        <v>657</v>
      </c>
      <c r="F906" s="39" t="s">
        <v>1923</v>
      </c>
      <c r="G906" s="39" t="s">
        <v>656</v>
      </c>
      <c r="H906" s="39" t="s">
        <v>722</v>
      </c>
      <c r="I906" s="39" t="s">
        <v>700</v>
      </c>
      <c r="J906" s="39" t="s">
        <v>709</v>
      </c>
      <c r="K906" s="39" t="s">
        <v>694</v>
      </c>
      <c r="L906" s="39" t="s">
        <v>719</v>
      </c>
      <c r="M906" s="39">
        <v>0</v>
      </c>
      <c r="N906" s="43"/>
    </row>
    <row r="907" customHeight="1" spans="1:14">
      <c r="A907" s="40">
        <v>547</v>
      </c>
      <c r="B907" s="41" t="s">
        <v>1471</v>
      </c>
      <c r="C907" s="41" t="s">
        <v>691</v>
      </c>
      <c r="D907" s="41" t="s">
        <v>647</v>
      </c>
      <c r="E907" s="41" t="s">
        <v>651</v>
      </c>
      <c r="F907" s="41" t="s">
        <v>1924</v>
      </c>
      <c r="G907" s="41" t="s">
        <v>656</v>
      </c>
      <c r="H907" s="41" t="s">
        <v>687</v>
      </c>
      <c r="I907" s="41" t="s">
        <v>700</v>
      </c>
      <c r="J907" s="41" t="s">
        <v>709</v>
      </c>
      <c r="K907" s="41" t="s">
        <v>710</v>
      </c>
      <c r="L907" s="41" t="s">
        <v>684</v>
      </c>
      <c r="M907" s="41">
        <v>0.85</v>
      </c>
      <c r="N907" s="44"/>
    </row>
    <row r="908" customHeight="1" spans="1:14">
      <c r="A908" s="38">
        <v>548</v>
      </c>
      <c r="B908" s="39" t="s">
        <v>1314</v>
      </c>
      <c r="C908" s="39" t="s">
        <v>674</v>
      </c>
      <c r="D908" s="39" t="s">
        <v>646</v>
      </c>
      <c r="E908" s="39" t="s">
        <v>657</v>
      </c>
      <c r="F908" s="39" t="s">
        <v>1925</v>
      </c>
      <c r="G908" s="39" t="s">
        <v>656</v>
      </c>
      <c r="H908" s="39" t="s">
        <v>707</v>
      </c>
      <c r="I908" s="39" t="s">
        <v>708</v>
      </c>
      <c r="J908" s="39" t="s">
        <v>678</v>
      </c>
      <c r="K908" s="39" t="s">
        <v>701</v>
      </c>
      <c r="L908" s="39" t="s">
        <v>719</v>
      </c>
      <c r="M908" s="39">
        <v>0</v>
      </c>
      <c r="N908" s="43"/>
    </row>
    <row r="909" customHeight="1" spans="1:14">
      <c r="A909" s="40">
        <v>549</v>
      </c>
      <c r="B909" s="41" t="s">
        <v>778</v>
      </c>
      <c r="C909" s="41" t="s">
        <v>691</v>
      </c>
      <c r="D909" s="41" t="s">
        <v>646</v>
      </c>
      <c r="E909" s="41" t="s">
        <v>651</v>
      </c>
      <c r="F909" s="41" t="s">
        <v>1926</v>
      </c>
      <c r="G909" s="41" t="s">
        <v>653</v>
      </c>
      <c r="H909" s="41" t="s">
        <v>687</v>
      </c>
      <c r="I909" s="41" t="s">
        <v>677</v>
      </c>
      <c r="J909" s="41" t="s">
        <v>709</v>
      </c>
      <c r="K909" s="41" t="s">
        <v>689</v>
      </c>
      <c r="L909" s="41" t="s">
        <v>695</v>
      </c>
      <c r="M909" s="41">
        <v>0.6</v>
      </c>
      <c r="N909" s="44"/>
    </row>
    <row r="910" customHeight="1" spans="1:14">
      <c r="A910" s="38">
        <v>550</v>
      </c>
      <c r="B910" s="39" t="s">
        <v>964</v>
      </c>
      <c r="C910" s="39" t="s">
        <v>691</v>
      </c>
      <c r="D910" s="39" t="s">
        <v>640</v>
      </c>
      <c r="E910" s="39" t="s">
        <v>657</v>
      </c>
      <c r="F910" s="39" t="s">
        <v>1927</v>
      </c>
      <c r="G910" s="39" t="s">
        <v>652</v>
      </c>
      <c r="H910" s="39" t="s">
        <v>683</v>
      </c>
      <c r="I910" s="39" t="s">
        <v>688</v>
      </c>
      <c r="J910" s="39" t="s">
        <v>678</v>
      </c>
      <c r="K910" s="39" t="s">
        <v>694</v>
      </c>
      <c r="L910" s="39" t="s">
        <v>743</v>
      </c>
      <c r="M910" s="39">
        <v>0</v>
      </c>
      <c r="N910" s="43"/>
    </row>
    <row r="911" customHeight="1" spans="1:14">
      <c r="A911" s="40">
        <v>551</v>
      </c>
      <c r="B911" s="41" t="s">
        <v>755</v>
      </c>
      <c r="C911" s="41" t="s">
        <v>691</v>
      </c>
      <c r="D911" s="41" t="s">
        <v>641</v>
      </c>
      <c r="E911" s="41" t="s">
        <v>657</v>
      </c>
      <c r="F911" s="41" t="s">
        <v>1928</v>
      </c>
      <c r="G911" s="41" t="s">
        <v>656</v>
      </c>
      <c r="H911" s="41" t="s">
        <v>676</v>
      </c>
      <c r="I911" s="41" t="s">
        <v>693</v>
      </c>
      <c r="J911" s="41" t="s">
        <v>709</v>
      </c>
      <c r="K911" s="41" t="s">
        <v>701</v>
      </c>
      <c r="L911" s="41" t="s">
        <v>684</v>
      </c>
      <c r="M911" s="41">
        <v>0.85</v>
      </c>
      <c r="N911" s="44"/>
    </row>
    <row r="912" customHeight="1" spans="1:14">
      <c r="A912" s="38">
        <v>552</v>
      </c>
      <c r="B912" s="39" t="s">
        <v>1087</v>
      </c>
      <c r="C912" s="39" t="s">
        <v>691</v>
      </c>
      <c r="D912" s="39" t="s">
        <v>641</v>
      </c>
      <c r="E912" s="39" t="s">
        <v>658</v>
      </c>
      <c r="F912" s="39" t="s">
        <v>1929</v>
      </c>
      <c r="G912" s="39" t="s">
        <v>654</v>
      </c>
      <c r="H912" s="39" t="s">
        <v>718</v>
      </c>
      <c r="I912" s="39" t="s">
        <v>700</v>
      </c>
      <c r="J912" s="39" t="s">
        <v>678</v>
      </c>
      <c r="K912" s="39" t="s">
        <v>710</v>
      </c>
      <c r="L912" s="39" t="s">
        <v>743</v>
      </c>
      <c r="M912" s="39">
        <v>0</v>
      </c>
      <c r="N912" s="43"/>
    </row>
    <row r="913" customHeight="1" spans="1:14">
      <c r="A913" s="40">
        <v>553</v>
      </c>
      <c r="B913" s="41" t="s">
        <v>1312</v>
      </c>
      <c r="C913" s="41" t="s">
        <v>674</v>
      </c>
      <c r="D913" s="41" t="s">
        <v>642</v>
      </c>
      <c r="E913" s="41" t="s">
        <v>658</v>
      </c>
      <c r="F913" s="41" t="s">
        <v>1930</v>
      </c>
      <c r="G913" s="41" t="s">
        <v>652</v>
      </c>
      <c r="H913" s="41" t="s">
        <v>687</v>
      </c>
      <c r="I913" s="41" t="s">
        <v>688</v>
      </c>
      <c r="J913" s="41" t="s">
        <v>678</v>
      </c>
      <c r="K913" s="41" t="s">
        <v>710</v>
      </c>
      <c r="L913" s="41" t="s">
        <v>715</v>
      </c>
      <c r="M913" s="41">
        <v>0</v>
      </c>
      <c r="N913" s="44"/>
    </row>
    <row r="914" customHeight="1" spans="1:14">
      <c r="A914" s="38">
        <v>554</v>
      </c>
      <c r="B914" s="39" t="s">
        <v>802</v>
      </c>
      <c r="C914" s="39" t="s">
        <v>691</v>
      </c>
      <c r="D914" s="39" t="s">
        <v>647</v>
      </c>
      <c r="E914" s="39" t="s">
        <v>657</v>
      </c>
      <c r="F914" s="39" t="s">
        <v>1931</v>
      </c>
      <c r="G914" s="39" t="s">
        <v>654</v>
      </c>
      <c r="H914" s="39" t="s">
        <v>683</v>
      </c>
      <c r="I914" s="39" t="s">
        <v>688</v>
      </c>
      <c r="J914" s="39" t="s">
        <v>678</v>
      </c>
      <c r="K914" s="39" t="s">
        <v>679</v>
      </c>
      <c r="L914" s="39" t="s">
        <v>680</v>
      </c>
      <c r="M914" s="39">
        <v>0.9</v>
      </c>
      <c r="N914" s="43"/>
    </row>
    <row r="915" customHeight="1" spans="1:14">
      <c r="A915" s="40">
        <v>555</v>
      </c>
      <c r="B915" s="41" t="s">
        <v>923</v>
      </c>
      <c r="C915" s="41" t="s">
        <v>674</v>
      </c>
      <c r="D915" s="41" t="s">
        <v>641</v>
      </c>
      <c r="E915" s="41" t="s">
        <v>658</v>
      </c>
      <c r="F915" s="41" t="s">
        <v>1932</v>
      </c>
      <c r="G915" s="41" t="s">
        <v>656</v>
      </c>
      <c r="H915" s="41" t="s">
        <v>718</v>
      </c>
      <c r="I915" s="41" t="s">
        <v>708</v>
      </c>
      <c r="J915" s="41" t="s">
        <v>709</v>
      </c>
      <c r="K915" s="41" t="s">
        <v>679</v>
      </c>
      <c r="L915" s="41" t="s">
        <v>680</v>
      </c>
      <c r="M915" s="41">
        <v>0.9</v>
      </c>
      <c r="N915" s="44"/>
    </row>
    <row r="916" customHeight="1" spans="1:14">
      <c r="A916" s="38">
        <v>556</v>
      </c>
      <c r="B916" s="39" t="s">
        <v>1590</v>
      </c>
      <c r="C916" s="39" t="s">
        <v>703</v>
      </c>
      <c r="D916" s="39" t="s">
        <v>641</v>
      </c>
      <c r="E916" s="39" t="s">
        <v>658</v>
      </c>
      <c r="F916" s="39" t="s">
        <v>1933</v>
      </c>
      <c r="G916" s="39" t="s">
        <v>656</v>
      </c>
      <c r="H916" s="39" t="s">
        <v>676</v>
      </c>
      <c r="I916" s="39" t="s">
        <v>693</v>
      </c>
      <c r="J916" s="39" t="s">
        <v>678</v>
      </c>
      <c r="K916" s="39" t="s">
        <v>732</v>
      </c>
      <c r="L916" s="39" t="s">
        <v>719</v>
      </c>
      <c r="M916" s="39">
        <v>0</v>
      </c>
      <c r="N916" s="43"/>
    </row>
    <row r="917" customHeight="1" spans="1:14">
      <c r="A917" s="40">
        <v>557</v>
      </c>
      <c r="B917" s="41" t="s">
        <v>1417</v>
      </c>
      <c r="C917" s="41" t="s">
        <v>691</v>
      </c>
      <c r="D917" s="41" t="s">
        <v>642</v>
      </c>
      <c r="E917" s="41" t="s">
        <v>658</v>
      </c>
      <c r="F917" s="41" t="s">
        <v>1934</v>
      </c>
      <c r="G917" s="41" t="s">
        <v>652</v>
      </c>
      <c r="H917" s="41" t="s">
        <v>676</v>
      </c>
      <c r="I917" s="41" t="s">
        <v>708</v>
      </c>
      <c r="J917" s="41" t="s">
        <v>678</v>
      </c>
      <c r="K917" s="41" t="s">
        <v>732</v>
      </c>
      <c r="L917" s="41" t="s">
        <v>684</v>
      </c>
      <c r="M917" s="41">
        <v>0.85</v>
      </c>
      <c r="N917" s="44"/>
    </row>
    <row r="918" customHeight="1" spans="1:14">
      <c r="A918" s="38">
        <v>558</v>
      </c>
      <c r="B918" s="39" t="s">
        <v>901</v>
      </c>
      <c r="C918" s="39" t="s">
        <v>691</v>
      </c>
      <c r="D918" s="39" t="s">
        <v>638</v>
      </c>
      <c r="E918" s="39" t="s">
        <v>658</v>
      </c>
      <c r="F918" s="39" t="s">
        <v>1935</v>
      </c>
      <c r="G918" s="39" t="s">
        <v>656</v>
      </c>
      <c r="H918" s="39" t="s">
        <v>683</v>
      </c>
      <c r="I918" s="39" t="s">
        <v>708</v>
      </c>
      <c r="J918" s="39" t="s">
        <v>709</v>
      </c>
      <c r="K918" s="39" t="s">
        <v>732</v>
      </c>
      <c r="L918" s="39" t="s">
        <v>695</v>
      </c>
      <c r="M918" s="39">
        <v>0.6</v>
      </c>
      <c r="N918" s="43"/>
    </row>
    <row r="919" customHeight="1" spans="1:14">
      <c r="A919" s="40">
        <v>559</v>
      </c>
      <c r="B919" s="41" t="s">
        <v>1036</v>
      </c>
      <c r="C919" s="41" t="s">
        <v>691</v>
      </c>
      <c r="D919" s="41" t="s">
        <v>647</v>
      </c>
      <c r="E919" s="41" t="s">
        <v>657</v>
      </c>
      <c r="F919" s="41" t="s">
        <v>1936</v>
      </c>
      <c r="G919" s="41" t="s">
        <v>652</v>
      </c>
      <c r="H919" s="41" t="s">
        <v>687</v>
      </c>
      <c r="I919" s="41" t="s">
        <v>700</v>
      </c>
      <c r="J919" s="41" t="s">
        <v>678</v>
      </c>
      <c r="K919" s="41" t="s">
        <v>689</v>
      </c>
      <c r="L919" s="41" t="s">
        <v>680</v>
      </c>
      <c r="M919" s="41">
        <v>0.9</v>
      </c>
      <c r="N919" s="44"/>
    </row>
    <row r="920" customHeight="1" spans="1:14">
      <c r="A920" s="38">
        <v>560</v>
      </c>
      <c r="B920" s="39" t="s">
        <v>1223</v>
      </c>
      <c r="C920" s="39" t="s">
        <v>691</v>
      </c>
      <c r="D920" s="39" t="s">
        <v>647</v>
      </c>
      <c r="E920" s="39" t="s">
        <v>651</v>
      </c>
      <c r="F920" s="39" t="s">
        <v>1937</v>
      </c>
      <c r="G920" s="39" t="s">
        <v>653</v>
      </c>
      <c r="H920" s="39" t="s">
        <v>727</v>
      </c>
      <c r="I920" s="39" t="s">
        <v>708</v>
      </c>
      <c r="J920" s="39" t="s">
        <v>678</v>
      </c>
      <c r="K920" s="39" t="s">
        <v>679</v>
      </c>
      <c r="L920" s="39" t="s">
        <v>743</v>
      </c>
      <c r="M920" s="39">
        <v>0</v>
      </c>
      <c r="N920" s="43"/>
    </row>
    <row r="921" customHeight="1" spans="1:14">
      <c r="A921" s="40">
        <v>561</v>
      </c>
      <c r="B921" s="41" t="s">
        <v>879</v>
      </c>
      <c r="C921" s="41" t="s">
        <v>691</v>
      </c>
      <c r="D921" s="41" t="s">
        <v>646</v>
      </c>
      <c r="E921" s="41" t="s">
        <v>651</v>
      </c>
      <c r="F921" s="41" t="s">
        <v>1938</v>
      </c>
      <c r="G921" s="41" t="s">
        <v>654</v>
      </c>
      <c r="H921" s="41" t="s">
        <v>683</v>
      </c>
      <c r="I921" s="41" t="s">
        <v>688</v>
      </c>
      <c r="J921" s="41" t="s">
        <v>678</v>
      </c>
      <c r="K921" s="41" t="s">
        <v>694</v>
      </c>
      <c r="L921" s="41" t="s">
        <v>680</v>
      </c>
      <c r="M921" s="41">
        <v>0.9</v>
      </c>
      <c r="N921" s="44"/>
    </row>
    <row r="922" customHeight="1" spans="1:14">
      <c r="A922" s="38">
        <v>562</v>
      </c>
      <c r="B922" s="39" t="s">
        <v>1411</v>
      </c>
      <c r="C922" s="39" t="s">
        <v>691</v>
      </c>
      <c r="D922" s="39" t="s">
        <v>642</v>
      </c>
      <c r="E922" s="39" t="s">
        <v>657</v>
      </c>
      <c r="F922" s="39" t="s">
        <v>1939</v>
      </c>
      <c r="G922" s="39" t="s">
        <v>652</v>
      </c>
      <c r="H922" s="39" t="s">
        <v>722</v>
      </c>
      <c r="I922" s="39" t="s">
        <v>693</v>
      </c>
      <c r="J922" s="39" t="s">
        <v>678</v>
      </c>
      <c r="K922" s="39" t="s">
        <v>694</v>
      </c>
      <c r="L922" s="39" t="s">
        <v>695</v>
      </c>
      <c r="M922" s="39">
        <v>0.6</v>
      </c>
      <c r="N922" s="43"/>
    </row>
    <row r="923" customHeight="1" spans="1:14">
      <c r="A923" s="40">
        <v>563</v>
      </c>
      <c r="B923" s="41" t="s">
        <v>1040</v>
      </c>
      <c r="C923" s="41" t="s">
        <v>691</v>
      </c>
      <c r="D923" s="41" t="s">
        <v>647</v>
      </c>
      <c r="E923" s="41" t="s">
        <v>651</v>
      </c>
      <c r="F923" s="41" t="s">
        <v>1940</v>
      </c>
      <c r="G923" s="41" t="s">
        <v>653</v>
      </c>
      <c r="H923" s="41" t="s">
        <v>718</v>
      </c>
      <c r="I923" s="41" t="s">
        <v>693</v>
      </c>
      <c r="J923" s="41" t="s">
        <v>709</v>
      </c>
      <c r="K923" s="41" t="s">
        <v>679</v>
      </c>
      <c r="L923" s="41" t="s">
        <v>743</v>
      </c>
      <c r="M923" s="41">
        <v>0</v>
      </c>
      <c r="N923" s="44"/>
    </row>
    <row r="924" customHeight="1" spans="1:14">
      <c r="A924" s="38">
        <v>564</v>
      </c>
      <c r="B924" s="39" t="s">
        <v>1283</v>
      </c>
      <c r="C924" s="39" t="s">
        <v>691</v>
      </c>
      <c r="D924" s="39" t="s">
        <v>640</v>
      </c>
      <c r="E924" s="39" t="s">
        <v>658</v>
      </c>
      <c r="F924" s="39" t="s">
        <v>1941</v>
      </c>
      <c r="G924" s="39" t="s">
        <v>652</v>
      </c>
      <c r="H924" s="39" t="s">
        <v>718</v>
      </c>
      <c r="I924" s="39" t="s">
        <v>700</v>
      </c>
      <c r="J924" s="39" t="s">
        <v>678</v>
      </c>
      <c r="K924" s="39" t="s">
        <v>701</v>
      </c>
      <c r="L924" s="39" t="s">
        <v>743</v>
      </c>
      <c r="M924" s="39">
        <v>0</v>
      </c>
      <c r="N924" s="43"/>
    </row>
    <row r="925" customHeight="1" spans="1:14">
      <c r="A925" s="40">
        <v>565</v>
      </c>
      <c r="B925" s="41" t="s">
        <v>1225</v>
      </c>
      <c r="C925" s="41" t="s">
        <v>691</v>
      </c>
      <c r="D925" s="41" t="s">
        <v>641</v>
      </c>
      <c r="E925" s="41" t="s">
        <v>658</v>
      </c>
      <c r="F925" s="41" t="s">
        <v>1942</v>
      </c>
      <c r="G925" s="41" t="s">
        <v>655</v>
      </c>
      <c r="H925" s="41" t="s">
        <v>676</v>
      </c>
      <c r="I925" s="41" t="s">
        <v>693</v>
      </c>
      <c r="J925" s="41" t="s">
        <v>709</v>
      </c>
      <c r="K925" s="41" t="s">
        <v>679</v>
      </c>
      <c r="L925" s="41" t="s">
        <v>719</v>
      </c>
      <c r="M925" s="41">
        <v>0</v>
      </c>
      <c r="N925" s="44"/>
    </row>
    <row r="926" customHeight="1" spans="1:14">
      <c r="A926" s="38">
        <v>566</v>
      </c>
      <c r="B926" s="39" t="s">
        <v>1864</v>
      </c>
      <c r="C926" s="39" t="s">
        <v>691</v>
      </c>
      <c r="D926" s="39" t="s">
        <v>641</v>
      </c>
      <c r="E926" s="39" t="s">
        <v>657</v>
      </c>
      <c r="F926" s="39" t="s">
        <v>1943</v>
      </c>
      <c r="G926" s="39" t="s">
        <v>653</v>
      </c>
      <c r="H926" s="39" t="s">
        <v>687</v>
      </c>
      <c r="I926" s="39" t="s">
        <v>688</v>
      </c>
      <c r="J926" s="39" t="s">
        <v>709</v>
      </c>
      <c r="K926" s="39" t="s">
        <v>689</v>
      </c>
      <c r="L926" s="39" t="s">
        <v>684</v>
      </c>
      <c r="M926" s="39">
        <v>0.85</v>
      </c>
      <c r="N926" s="43"/>
    </row>
    <row r="927" customHeight="1" spans="1:14">
      <c r="A927" s="40">
        <v>567</v>
      </c>
      <c r="B927" s="41" t="s">
        <v>1055</v>
      </c>
      <c r="C927" s="41" t="s">
        <v>691</v>
      </c>
      <c r="D927" s="41" t="s">
        <v>644</v>
      </c>
      <c r="E927" s="41" t="s">
        <v>658</v>
      </c>
      <c r="F927" s="41" t="s">
        <v>1944</v>
      </c>
      <c r="G927" s="41" t="s">
        <v>654</v>
      </c>
      <c r="H927" s="41" t="s">
        <v>722</v>
      </c>
      <c r="I927" s="41" t="s">
        <v>700</v>
      </c>
      <c r="J927" s="41" t="s">
        <v>678</v>
      </c>
      <c r="K927" s="41" t="s">
        <v>732</v>
      </c>
      <c r="L927" s="41" t="s">
        <v>715</v>
      </c>
      <c r="M927" s="41">
        <v>0</v>
      </c>
      <c r="N927" s="44"/>
    </row>
    <row r="928" customHeight="1" spans="1:14">
      <c r="A928" s="38">
        <v>568</v>
      </c>
      <c r="B928" s="39" t="s">
        <v>1066</v>
      </c>
      <c r="C928" s="39" t="s">
        <v>691</v>
      </c>
      <c r="D928" s="39" t="s">
        <v>646</v>
      </c>
      <c r="E928" s="39" t="s">
        <v>658</v>
      </c>
      <c r="F928" s="39" t="s">
        <v>1945</v>
      </c>
      <c r="G928" s="39" t="s">
        <v>653</v>
      </c>
      <c r="H928" s="39" t="s">
        <v>683</v>
      </c>
      <c r="I928" s="39" t="s">
        <v>700</v>
      </c>
      <c r="J928" s="39" t="s">
        <v>678</v>
      </c>
      <c r="K928" s="39" t="s">
        <v>689</v>
      </c>
      <c r="L928" s="39" t="s">
        <v>680</v>
      </c>
      <c r="M928" s="39">
        <v>0.9</v>
      </c>
      <c r="N928" s="43"/>
    </row>
    <row r="929" customHeight="1" spans="1:14">
      <c r="A929" s="40">
        <v>569</v>
      </c>
      <c r="B929" s="41" t="s">
        <v>786</v>
      </c>
      <c r="C929" s="41" t="s">
        <v>691</v>
      </c>
      <c r="D929" s="41" t="s">
        <v>646</v>
      </c>
      <c r="E929" s="41" t="s">
        <v>658</v>
      </c>
      <c r="F929" s="41" t="s">
        <v>1946</v>
      </c>
      <c r="G929" s="41" t="s">
        <v>655</v>
      </c>
      <c r="H929" s="41" t="s">
        <v>687</v>
      </c>
      <c r="I929" s="41" t="s">
        <v>700</v>
      </c>
      <c r="J929" s="41" t="s">
        <v>709</v>
      </c>
      <c r="K929" s="41" t="s">
        <v>679</v>
      </c>
      <c r="L929" s="41" t="s">
        <v>684</v>
      </c>
      <c r="M929" s="41">
        <v>0.85</v>
      </c>
      <c r="N929" s="44"/>
    </row>
    <row r="930" customHeight="1" spans="1:14">
      <c r="A930" s="38">
        <v>570</v>
      </c>
      <c r="B930" s="39" t="s">
        <v>1429</v>
      </c>
      <c r="C930" s="39" t="s">
        <v>691</v>
      </c>
      <c r="D930" s="39" t="s">
        <v>646</v>
      </c>
      <c r="E930" s="39" t="s">
        <v>658</v>
      </c>
      <c r="F930" s="39" t="s">
        <v>1947</v>
      </c>
      <c r="G930" s="39" t="s">
        <v>654</v>
      </c>
      <c r="H930" s="39" t="s">
        <v>718</v>
      </c>
      <c r="I930" s="39" t="s">
        <v>708</v>
      </c>
      <c r="J930" s="39" t="s">
        <v>678</v>
      </c>
      <c r="K930" s="39" t="s">
        <v>694</v>
      </c>
      <c r="L930" s="39" t="s">
        <v>684</v>
      </c>
      <c r="M930" s="39">
        <v>0.85</v>
      </c>
      <c r="N930" s="43"/>
    </row>
    <row r="931" customHeight="1" spans="1:14">
      <c r="A931" s="40">
        <v>571</v>
      </c>
      <c r="B931" s="41" t="s">
        <v>1948</v>
      </c>
      <c r="C931" s="41" t="s">
        <v>691</v>
      </c>
      <c r="D931" s="41" t="s">
        <v>647</v>
      </c>
      <c r="E931" s="41" t="s">
        <v>651</v>
      </c>
      <c r="F931" s="41" t="s">
        <v>1949</v>
      </c>
      <c r="G931" s="41" t="s">
        <v>654</v>
      </c>
      <c r="H931" s="41" t="s">
        <v>707</v>
      </c>
      <c r="I931" s="41" t="s">
        <v>708</v>
      </c>
      <c r="J931" s="41" t="s">
        <v>678</v>
      </c>
      <c r="K931" s="41" t="s">
        <v>732</v>
      </c>
      <c r="L931" s="41" t="s">
        <v>680</v>
      </c>
      <c r="M931" s="41">
        <v>0.9</v>
      </c>
      <c r="N931" s="44"/>
    </row>
    <row r="932" customHeight="1" spans="1:14">
      <c r="A932" s="38">
        <v>572</v>
      </c>
      <c r="B932" s="39" t="s">
        <v>696</v>
      </c>
      <c r="C932" s="39" t="s">
        <v>691</v>
      </c>
      <c r="D932" s="39" t="s">
        <v>644</v>
      </c>
      <c r="E932" s="39" t="s">
        <v>657</v>
      </c>
      <c r="F932" s="39" t="s">
        <v>1950</v>
      </c>
      <c r="G932" s="39" t="s">
        <v>656</v>
      </c>
      <c r="H932" s="39" t="s">
        <v>727</v>
      </c>
      <c r="I932" s="39" t="s">
        <v>677</v>
      </c>
      <c r="J932" s="39" t="s">
        <v>678</v>
      </c>
      <c r="K932" s="39" t="s">
        <v>689</v>
      </c>
      <c r="L932" s="39" t="s">
        <v>680</v>
      </c>
      <c r="M932" s="39">
        <v>0.9</v>
      </c>
      <c r="N932" s="43"/>
    </row>
    <row r="933" customHeight="1" spans="1:14">
      <c r="A933" s="40">
        <v>573</v>
      </c>
      <c r="B933" s="41" t="s">
        <v>806</v>
      </c>
      <c r="C933" s="41" t="s">
        <v>674</v>
      </c>
      <c r="D933" s="41" t="s">
        <v>649</v>
      </c>
      <c r="E933" s="41" t="s">
        <v>651</v>
      </c>
      <c r="F933" s="41" t="s">
        <v>1951</v>
      </c>
      <c r="G933" s="41" t="s">
        <v>655</v>
      </c>
      <c r="H933" s="41" t="s">
        <v>707</v>
      </c>
      <c r="I933" s="41" t="s">
        <v>688</v>
      </c>
      <c r="J933" s="41" t="s">
        <v>709</v>
      </c>
      <c r="K933" s="41" t="s">
        <v>689</v>
      </c>
      <c r="L933" s="41" t="s">
        <v>680</v>
      </c>
      <c r="M933" s="41">
        <v>0.9</v>
      </c>
      <c r="N933" s="44"/>
    </row>
    <row r="934" customHeight="1" spans="1:14">
      <c r="A934" s="38">
        <v>574</v>
      </c>
      <c r="B934" s="39" t="s">
        <v>1726</v>
      </c>
      <c r="C934" s="39" t="s">
        <v>674</v>
      </c>
      <c r="D934" s="39" t="s">
        <v>645</v>
      </c>
      <c r="E934" s="39" t="s">
        <v>658</v>
      </c>
      <c r="F934" s="39" t="s">
        <v>1952</v>
      </c>
      <c r="G934" s="39" t="s">
        <v>652</v>
      </c>
      <c r="H934" s="39" t="s">
        <v>722</v>
      </c>
      <c r="I934" s="39" t="s">
        <v>700</v>
      </c>
      <c r="J934" s="39" t="s">
        <v>709</v>
      </c>
      <c r="K934" s="39" t="s">
        <v>732</v>
      </c>
      <c r="L934" s="39" t="s">
        <v>680</v>
      </c>
      <c r="M934" s="39">
        <v>0.9</v>
      </c>
      <c r="N934" s="43"/>
    </row>
    <row r="935" customHeight="1" spans="1:14">
      <c r="A935" s="40">
        <v>575</v>
      </c>
      <c r="B935" s="41" t="s">
        <v>1536</v>
      </c>
      <c r="C935" s="41" t="s">
        <v>691</v>
      </c>
      <c r="D935" s="41" t="s">
        <v>647</v>
      </c>
      <c r="E935" s="41" t="s">
        <v>657</v>
      </c>
      <c r="F935" s="41" t="s">
        <v>1953</v>
      </c>
      <c r="G935" s="41" t="s">
        <v>655</v>
      </c>
      <c r="H935" s="41" t="s">
        <v>722</v>
      </c>
      <c r="I935" s="41" t="s">
        <v>700</v>
      </c>
      <c r="J935" s="41" t="s">
        <v>709</v>
      </c>
      <c r="K935" s="41" t="s">
        <v>701</v>
      </c>
      <c r="L935" s="41" t="s">
        <v>684</v>
      </c>
      <c r="M935" s="41">
        <v>0.85</v>
      </c>
      <c r="N935" s="44"/>
    </row>
    <row r="936" customHeight="1" spans="1:14">
      <c r="A936" s="38">
        <v>576</v>
      </c>
      <c r="B936" s="39" t="s">
        <v>952</v>
      </c>
      <c r="C936" s="39" t="s">
        <v>691</v>
      </c>
      <c r="D936" s="39" t="s">
        <v>646</v>
      </c>
      <c r="E936" s="39" t="s">
        <v>657</v>
      </c>
      <c r="F936" s="39" t="s">
        <v>1954</v>
      </c>
      <c r="G936" s="39" t="s">
        <v>652</v>
      </c>
      <c r="H936" s="39" t="s">
        <v>676</v>
      </c>
      <c r="I936" s="39" t="s">
        <v>693</v>
      </c>
      <c r="J936" s="39" t="s">
        <v>709</v>
      </c>
      <c r="K936" s="39" t="s">
        <v>710</v>
      </c>
      <c r="L936" s="39" t="s">
        <v>695</v>
      </c>
      <c r="M936" s="39">
        <v>0.6</v>
      </c>
      <c r="N936" s="43"/>
    </row>
    <row r="937" customHeight="1" spans="1:14">
      <c r="A937" s="40">
        <v>577</v>
      </c>
      <c r="B937" s="41" t="s">
        <v>1161</v>
      </c>
      <c r="C937" s="41" t="s">
        <v>674</v>
      </c>
      <c r="D937" s="41" t="s">
        <v>647</v>
      </c>
      <c r="E937" s="41" t="s">
        <v>657</v>
      </c>
      <c r="F937" s="41" t="s">
        <v>1955</v>
      </c>
      <c r="G937" s="41" t="s">
        <v>653</v>
      </c>
      <c r="H937" s="41" t="s">
        <v>718</v>
      </c>
      <c r="I937" s="41" t="s">
        <v>700</v>
      </c>
      <c r="J937" s="41" t="s">
        <v>678</v>
      </c>
      <c r="K937" s="41" t="s">
        <v>701</v>
      </c>
      <c r="L937" s="41" t="s">
        <v>680</v>
      </c>
      <c r="M937" s="41">
        <v>0.9</v>
      </c>
      <c r="N937" s="44"/>
    </row>
    <row r="938" customHeight="1" spans="1:14">
      <c r="A938" s="38">
        <v>578</v>
      </c>
      <c r="B938" s="39" t="s">
        <v>1141</v>
      </c>
      <c r="C938" s="39" t="s">
        <v>691</v>
      </c>
      <c r="D938" s="39" t="s">
        <v>646</v>
      </c>
      <c r="E938" s="39" t="s">
        <v>657</v>
      </c>
      <c r="F938" s="39" t="s">
        <v>1956</v>
      </c>
      <c r="G938" s="39" t="s">
        <v>656</v>
      </c>
      <c r="H938" s="39" t="s">
        <v>718</v>
      </c>
      <c r="I938" s="39" t="s">
        <v>700</v>
      </c>
      <c r="J938" s="39" t="s">
        <v>709</v>
      </c>
      <c r="K938" s="39" t="s">
        <v>701</v>
      </c>
      <c r="L938" s="39" t="s">
        <v>680</v>
      </c>
      <c r="M938" s="39">
        <v>0.9</v>
      </c>
      <c r="N938" s="43"/>
    </row>
    <row r="939" customHeight="1" spans="1:14">
      <c r="A939" s="40">
        <v>579</v>
      </c>
      <c r="B939" s="41" t="s">
        <v>1188</v>
      </c>
      <c r="C939" s="41" t="s">
        <v>674</v>
      </c>
      <c r="D939" s="41" t="s">
        <v>646</v>
      </c>
      <c r="E939" s="41" t="s">
        <v>658</v>
      </c>
      <c r="F939" s="41" t="s">
        <v>1957</v>
      </c>
      <c r="G939" s="41" t="s">
        <v>656</v>
      </c>
      <c r="H939" s="41" t="s">
        <v>683</v>
      </c>
      <c r="I939" s="41" t="s">
        <v>693</v>
      </c>
      <c r="J939" s="41" t="s">
        <v>709</v>
      </c>
      <c r="K939" s="41" t="s">
        <v>732</v>
      </c>
      <c r="L939" s="41" t="s">
        <v>715</v>
      </c>
      <c r="M939" s="41">
        <v>0</v>
      </c>
      <c r="N939" s="44"/>
    </row>
    <row r="940" customHeight="1" spans="1:14">
      <c r="A940" s="38">
        <v>580</v>
      </c>
      <c r="B940" s="39" t="s">
        <v>1753</v>
      </c>
      <c r="C940" s="39" t="s">
        <v>691</v>
      </c>
      <c r="D940" s="39" t="s">
        <v>647</v>
      </c>
      <c r="E940" s="39" t="s">
        <v>658</v>
      </c>
      <c r="F940" s="39" t="s">
        <v>1958</v>
      </c>
      <c r="G940" s="39" t="s">
        <v>655</v>
      </c>
      <c r="H940" s="39" t="s">
        <v>727</v>
      </c>
      <c r="I940" s="39" t="s">
        <v>688</v>
      </c>
      <c r="J940" s="39" t="s">
        <v>709</v>
      </c>
      <c r="K940" s="39" t="s">
        <v>732</v>
      </c>
      <c r="L940" s="39" t="s">
        <v>719</v>
      </c>
      <c r="M940" s="39">
        <v>0</v>
      </c>
      <c r="N940" s="43"/>
    </row>
    <row r="941" customHeight="1" spans="1:14">
      <c r="A941" s="40">
        <v>581</v>
      </c>
      <c r="B941" s="41" t="s">
        <v>1758</v>
      </c>
      <c r="C941" s="41" t="s">
        <v>691</v>
      </c>
      <c r="D941" s="41" t="s">
        <v>644</v>
      </c>
      <c r="E941" s="41" t="s">
        <v>658</v>
      </c>
      <c r="F941" s="41" t="s">
        <v>1959</v>
      </c>
      <c r="G941" s="41" t="s">
        <v>653</v>
      </c>
      <c r="H941" s="41" t="s">
        <v>676</v>
      </c>
      <c r="I941" s="41" t="s">
        <v>693</v>
      </c>
      <c r="J941" s="41" t="s">
        <v>709</v>
      </c>
      <c r="K941" s="41" t="s">
        <v>732</v>
      </c>
      <c r="L941" s="41" t="s">
        <v>695</v>
      </c>
      <c r="M941" s="41">
        <v>0.6</v>
      </c>
      <c r="N941" s="44"/>
    </row>
    <row r="942" customHeight="1" spans="1:14">
      <c r="A942" s="38">
        <v>582</v>
      </c>
      <c r="B942" s="39" t="s">
        <v>993</v>
      </c>
      <c r="C942" s="39" t="s">
        <v>674</v>
      </c>
      <c r="D942" s="39" t="s">
        <v>646</v>
      </c>
      <c r="E942" s="39" t="s">
        <v>658</v>
      </c>
      <c r="F942" s="39" t="s">
        <v>1960</v>
      </c>
      <c r="G942" s="39" t="s">
        <v>654</v>
      </c>
      <c r="H942" s="39" t="s">
        <v>727</v>
      </c>
      <c r="I942" s="39" t="s">
        <v>708</v>
      </c>
      <c r="J942" s="39" t="s">
        <v>678</v>
      </c>
      <c r="K942" s="39" t="s">
        <v>689</v>
      </c>
      <c r="L942" s="39" t="s">
        <v>719</v>
      </c>
      <c r="M942" s="39">
        <v>0</v>
      </c>
      <c r="N942" s="43"/>
    </row>
    <row r="943" customHeight="1" spans="1:14">
      <c r="A943" s="40">
        <v>583</v>
      </c>
      <c r="B943" s="41" t="s">
        <v>1090</v>
      </c>
      <c r="C943" s="41" t="s">
        <v>691</v>
      </c>
      <c r="D943" s="41" t="s">
        <v>649</v>
      </c>
      <c r="E943" s="41" t="s">
        <v>657</v>
      </c>
      <c r="F943" s="41" t="s">
        <v>1961</v>
      </c>
      <c r="G943" s="41" t="s">
        <v>654</v>
      </c>
      <c r="H943" s="41" t="s">
        <v>707</v>
      </c>
      <c r="I943" s="41" t="s">
        <v>708</v>
      </c>
      <c r="J943" s="41" t="s">
        <v>678</v>
      </c>
      <c r="K943" s="41" t="s">
        <v>679</v>
      </c>
      <c r="L943" s="41" t="s">
        <v>743</v>
      </c>
      <c r="M943" s="41">
        <v>0</v>
      </c>
      <c r="N943" s="44"/>
    </row>
    <row r="944" customHeight="1" spans="1:14">
      <c r="A944" s="38">
        <v>584</v>
      </c>
      <c r="B944" s="39" t="s">
        <v>1625</v>
      </c>
      <c r="C944" s="39" t="s">
        <v>674</v>
      </c>
      <c r="D944" s="39" t="s">
        <v>647</v>
      </c>
      <c r="E944" s="39" t="s">
        <v>657</v>
      </c>
      <c r="F944" s="39" t="s">
        <v>1962</v>
      </c>
      <c r="G944" s="39" t="s">
        <v>653</v>
      </c>
      <c r="H944" s="39" t="s">
        <v>687</v>
      </c>
      <c r="I944" s="39" t="s">
        <v>693</v>
      </c>
      <c r="J944" s="39" t="s">
        <v>709</v>
      </c>
      <c r="K944" s="39" t="s">
        <v>689</v>
      </c>
      <c r="L944" s="39" t="s">
        <v>695</v>
      </c>
      <c r="M944" s="39">
        <v>0.6</v>
      </c>
      <c r="N944" s="43"/>
    </row>
    <row r="945" customHeight="1" spans="1:14">
      <c r="A945" s="40">
        <v>585</v>
      </c>
      <c r="B945" s="41" t="s">
        <v>1225</v>
      </c>
      <c r="C945" s="41" t="s">
        <v>691</v>
      </c>
      <c r="D945" s="41" t="s">
        <v>641</v>
      </c>
      <c r="E945" s="41" t="s">
        <v>658</v>
      </c>
      <c r="F945" s="41" t="s">
        <v>1963</v>
      </c>
      <c r="G945" s="41" t="s">
        <v>656</v>
      </c>
      <c r="H945" s="41" t="s">
        <v>676</v>
      </c>
      <c r="I945" s="41" t="s">
        <v>677</v>
      </c>
      <c r="J945" s="41" t="s">
        <v>709</v>
      </c>
      <c r="K945" s="41" t="s">
        <v>732</v>
      </c>
      <c r="L945" s="41" t="s">
        <v>715</v>
      </c>
      <c r="M945" s="41">
        <v>0</v>
      </c>
      <c r="N945" s="44"/>
    </row>
    <row r="946" customHeight="1" spans="1:14">
      <c r="A946" s="38">
        <v>586</v>
      </c>
      <c r="B946" s="39" t="s">
        <v>1011</v>
      </c>
      <c r="C946" s="39" t="s">
        <v>703</v>
      </c>
      <c r="D946" s="39" t="s">
        <v>642</v>
      </c>
      <c r="E946" s="39" t="s">
        <v>658</v>
      </c>
      <c r="F946" s="39" t="s">
        <v>1964</v>
      </c>
      <c r="G946" s="39" t="s">
        <v>652</v>
      </c>
      <c r="H946" s="39" t="s">
        <v>707</v>
      </c>
      <c r="I946" s="39" t="s">
        <v>700</v>
      </c>
      <c r="J946" s="39" t="s">
        <v>709</v>
      </c>
      <c r="K946" s="39" t="s">
        <v>694</v>
      </c>
      <c r="L946" s="39" t="s">
        <v>684</v>
      </c>
      <c r="M946" s="39">
        <v>0.85</v>
      </c>
      <c r="N946" s="43"/>
    </row>
    <row r="947" customHeight="1" spans="1:14">
      <c r="A947" s="40">
        <v>587</v>
      </c>
      <c r="B947" s="41" t="s">
        <v>1061</v>
      </c>
      <c r="C947" s="41" t="s">
        <v>691</v>
      </c>
      <c r="D947" s="41" t="s">
        <v>638</v>
      </c>
      <c r="E947" s="41" t="s">
        <v>651</v>
      </c>
      <c r="F947" s="41" t="s">
        <v>1965</v>
      </c>
      <c r="G947" s="41" t="s">
        <v>654</v>
      </c>
      <c r="H947" s="41" t="s">
        <v>676</v>
      </c>
      <c r="I947" s="41" t="s">
        <v>700</v>
      </c>
      <c r="J947" s="41" t="s">
        <v>678</v>
      </c>
      <c r="K947" s="41" t="s">
        <v>732</v>
      </c>
      <c r="L947" s="41" t="s">
        <v>715</v>
      </c>
      <c r="M947" s="41">
        <v>0</v>
      </c>
      <c r="N947" s="44"/>
    </row>
    <row r="948" customHeight="1" spans="1:14">
      <c r="A948" s="38">
        <v>588</v>
      </c>
      <c r="B948" s="39" t="s">
        <v>1748</v>
      </c>
      <c r="C948" s="39" t="s">
        <v>691</v>
      </c>
      <c r="D948" s="39" t="s">
        <v>639</v>
      </c>
      <c r="E948" s="39" t="s">
        <v>658</v>
      </c>
      <c r="F948" s="39" t="s">
        <v>1966</v>
      </c>
      <c r="G948" s="39" t="s">
        <v>653</v>
      </c>
      <c r="H948" s="39" t="s">
        <v>718</v>
      </c>
      <c r="I948" s="39" t="s">
        <v>693</v>
      </c>
      <c r="J948" s="39" t="s">
        <v>678</v>
      </c>
      <c r="K948" s="39" t="s">
        <v>710</v>
      </c>
      <c r="L948" s="39" t="s">
        <v>680</v>
      </c>
      <c r="M948" s="39">
        <v>0.9</v>
      </c>
      <c r="N948" s="43"/>
    </row>
    <row r="949" customHeight="1" spans="1:14">
      <c r="A949" s="40">
        <v>589</v>
      </c>
      <c r="B949" s="41" t="s">
        <v>1327</v>
      </c>
      <c r="C949" s="41" t="s">
        <v>691</v>
      </c>
      <c r="D949" s="41" t="s">
        <v>641</v>
      </c>
      <c r="E949" s="41" t="s">
        <v>657</v>
      </c>
      <c r="F949" s="41" t="s">
        <v>1967</v>
      </c>
      <c r="G949" s="41" t="s">
        <v>653</v>
      </c>
      <c r="H949" s="41" t="s">
        <v>718</v>
      </c>
      <c r="I949" s="41" t="s">
        <v>677</v>
      </c>
      <c r="J949" s="41" t="s">
        <v>678</v>
      </c>
      <c r="K949" s="41" t="s">
        <v>689</v>
      </c>
      <c r="L949" s="41" t="s">
        <v>719</v>
      </c>
      <c r="M949" s="41">
        <v>0</v>
      </c>
      <c r="N949" s="44"/>
    </row>
    <row r="950" customHeight="1" spans="1:14">
      <c r="A950" s="38">
        <v>590</v>
      </c>
      <c r="B950" s="39" t="s">
        <v>1730</v>
      </c>
      <c r="C950" s="39" t="s">
        <v>691</v>
      </c>
      <c r="D950" s="39" t="s">
        <v>638</v>
      </c>
      <c r="E950" s="39" t="s">
        <v>651</v>
      </c>
      <c r="F950" s="39" t="s">
        <v>1968</v>
      </c>
      <c r="G950" s="39" t="s">
        <v>652</v>
      </c>
      <c r="H950" s="39" t="s">
        <v>727</v>
      </c>
      <c r="I950" s="39" t="s">
        <v>708</v>
      </c>
      <c r="J950" s="39" t="s">
        <v>678</v>
      </c>
      <c r="K950" s="39" t="s">
        <v>732</v>
      </c>
      <c r="L950" s="39" t="s">
        <v>743</v>
      </c>
      <c r="M950" s="39">
        <v>0</v>
      </c>
      <c r="N950" s="43"/>
    </row>
    <row r="951" customHeight="1" spans="1:14">
      <c r="A951" s="40">
        <v>591</v>
      </c>
      <c r="B951" s="41" t="s">
        <v>1208</v>
      </c>
      <c r="C951" s="41" t="s">
        <v>691</v>
      </c>
      <c r="D951" s="41" t="s">
        <v>644</v>
      </c>
      <c r="E951" s="41" t="s">
        <v>657</v>
      </c>
      <c r="F951" s="41" t="s">
        <v>1969</v>
      </c>
      <c r="G951" s="41" t="s">
        <v>654</v>
      </c>
      <c r="H951" s="41" t="s">
        <v>718</v>
      </c>
      <c r="I951" s="41" t="s">
        <v>677</v>
      </c>
      <c r="J951" s="41" t="s">
        <v>678</v>
      </c>
      <c r="K951" s="41" t="s">
        <v>689</v>
      </c>
      <c r="L951" s="41" t="s">
        <v>743</v>
      </c>
      <c r="M951" s="41">
        <v>0</v>
      </c>
      <c r="N951" s="44"/>
    </row>
    <row r="952" customHeight="1" spans="1:14">
      <c r="A952" s="38">
        <v>592</v>
      </c>
      <c r="B952" s="39" t="s">
        <v>1970</v>
      </c>
      <c r="C952" s="39" t="s">
        <v>674</v>
      </c>
      <c r="D952" s="39" t="s">
        <v>645</v>
      </c>
      <c r="E952" s="39" t="s">
        <v>658</v>
      </c>
      <c r="F952" s="39" t="s">
        <v>1971</v>
      </c>
      <c r="G952" s="39" t="s">
        <v>653</v>
      </c>
      <c r="H952" s="39" t="s">
        <v>707</v>
      </c>
      <c r="I952" s="39" t="s">
        <v>688</v>
      </c>
      <c r="J952" s="39" t="s">
        <v>678</v>
      </c>
      <c r="K952" s="39" t="s">
        <v>710</v>
      </c>
      <c r="L952" s="39" t="s">
        <v>719</v>
      </c>
      <c r="M952" s="39">
        <v>0</v>
      </c>
      <c r="N952" s="43"/>
    </row>
    <row r="953" customHeight="1" spans="1:14">
      <c r="A953" s="40">
        <v>593</v>
      </c>
      <c r="B953" s="41" t="s">
        <v>1339</v>
      </c>
      <c r="C953" s="41" t="s">
        <v>674</v>
      </c>
      <c r="D953" s="41" t="s">
        <v>643</v>
      </c>
      <c r="E953" s="41" t="s">
        <v>657</v>
      </c>
      <c r="F953" s="41" t="s">
        <v>1972</v>
      </c>
      <c r="G953" s="41" t="s">
        <v>654</v>
      </c>
      <c r="H953" s="41" t="s">
        <v>718</v>
      </c>
      <c r="I953" s="41" t="s">
        <v>708</v>
      </c>
      <c r="J953" s="41" t="s">
        <v>678</v>
      </c>
      <c r="K953" s="41" t="s">
        <v>732</v>
      </c>
      <c r="L953" s="41" t="s">
        <v>695</v>
      </c>
      <c r="M953" s="41">
        <v>0.6</v>
      </c>
      <c r="N953" s="44"/>
    </row>
    <row r="954" customHeight="1" spans="1:14">
      <c r="A954" s="38">
        <v>594</v>
      </c>
      <c r="B954" s="39" t="s">
        <v>1973</v>
      </c>
      <c r="C954" s="39" t="s">
        <v>691</v>
      </c>
      <c r="D954" s="39" t="s">
        <v>640</v>
      </c>
      <c r="E954" s="39" t="s">
        <v>657</v>
      </c>
      <c r="F954" s="39" t="s">
        <v>1974</v>
      </c>
      <c r="G954" s="39" t="s">
        <v>656</v>
      </c>
      <c r="H954" s="39" t="s">
        <v>687</v>
      </c>
      <c r="I954" s="39" t="s">
        <v>688</v>
      </c>
      <c r="J954" s="39" t="s">
        <v>678</v>
      </c>
      <c r="K954" s="39" t="s">
        <v>689</v>
      </c>
      <c r="L954" s="39" t="s">
        <v>684</v>
      </c>
      <c r="M954" s="39">
        <v>0.85</v>
      </c>
      <c r="N954" s="43"/>
    </row>
    <row r="955" customHeight="1" spans="1:14">
      <c r="A955" s="40">
        <v>595</v>
      </c>
      <c r="B955" s="41" t="s">
        <v>685</v>
      </c>
      <c r="C955" s="41" t="s">
        <v>674</v>
      </c>
      <c r="D955" s="41" t="s">
        <v>645</v>
      </c>
      <c r="E955" s="41" t="s">
        <v>651</v>
      </c>
      <c r="F955" s="41" t="s">
        <v>1975</v>
      </c>
      <c r="G955" s="41" t="s">
        <v>652</v>
      </c>
      <c r="H955" s="41" t="s">
        <v>707</v>
      </c>
      <c r="I955" s="41" t="s">
        <v>693</v>
      </c>
      <c r="J955" s="41" t="s">
        <v>709</v>
      </c>
      <c r="K955" s="41" t="s">
        <v>694</v>
      </c>
      <c r="L955" s="41" t="s">
        <v>719</v>
      </c>
      <c r="M955" s="41">
        <v>0</v>
      </c>
      <c r="N955" s="44"/>
    </row>
    <row r="956" customHeight="1" spans="1:14">
      <c r="A956" s="38">
        <v>596</v>
      </c>
      <c r="B956" s="39" t="s">
        <v>1976</v>
      </c>
      <c r="C956" s="39" t="s">
        <v>674</v>
      </c>
      <c r="D956" s="39" t="s">
        <v>638</v>
      </c>
      <c r="E956" s="39" t="s">
        <v>658</v>
      </c>
      <c r="F956" s="39" t="s">
        <v>1977</v>
      </c>
      <c r="G956" s="39" t="s">
        <v>653</v>
      </c>
      <c r="H956" s="39" t="s">
        <v>707</v>
      </c>
      <c r="I956" s="39" t="s">
        <v>700</v>
      </c>
      <c r="J956" s="39" t="s">
        <v>709</v>
      </c>
      <c r="K956" s="39" t="s">
        <v>701</v>
      </c>
      <c r="L956" s="39" t="s">
        <v>715</v>
      </c>
      <c r="M956" s="39">
        <v>0</v>
      </c>
      <c r="N956" s="43"/>
    </row>
    <row r="957" customHeight="1" spans="1:14">
      <c r="A957" s="40">
        <v>597</v>
      </c>
      <c r="B957" s="41" t="s">
        <v>1059</v>
      </c>
      <c r="C957" s="41" t="s">
        <v>691</v>
      </c>
      <c r="D957" s="41" t="s">
        <v>646</v>
      </c>
      <c r="E957" s="41" t="s">
        <v>657</v>
      </c>
      <c r="F957" s="41" t="s">
        <v>1978</v>
      </c>
      <c r="G957" s="41" t="s">
        <v>652</v>
      </c>
      <c r="H957" s="41" t="s">
        <v>676</v>
      </c>
      <c r="I957" s="41" t="s">
        <v>677</v>
      </c>
      <c r="J957" s="41" t="s">
        <v>678</v>
      </c>
      <c r="K957" s="41" t="s">
        <v>732</v>
      </c>
      <c r="L957" s="41" t="s">
        <v>680</v>
      </c>
      <c r="M957" s="41">
        <v>0.9</v>
      </c>
      <c r="N957" s="44"/>
    </row>
    <row r="958" customHeight="1" spans="1:14">
      <c r="A958" s="38">
        <v>598</v>
      </c>
      <c r="B958" s="39" t="s">
        <v>1018</v>
      </c>
      <c r="C958" s="39" t="s">
        <v>674</v>
      </c>
      <c r="D958" s="39" t="s">
        <v>640</v>
      </c>
      <c r="E958" s="39" t="s">
        <v>658</v>
      </c>
      <c r="F958" s="39" t="s">
        <v>1979</v>
      </c>
      <c r="G958" s="39" t="s">
        <v>654</v>
      </c>
      <c r="H958" s="39" t="s">
        <v>707</v>
      </c>
      <c r="I958" s="39" t="s">
        <v>688</v>
      </c>
      <c r="J958" s="39" t="s">
        <v>678</v>
      </c>
      <c r="K958" s="39" t="s">
        <v>710</v>
      </c>
      <c r="L958" s="39" t="s">
        <v>743</v>
      </c>
      <c r="M958" s="39">
        <v>0</v>
      </c>
      <c r="N958" s="43"/>
    </row>
    <row r="959" customHeight="1" spans="1:14">
      <c r="A959" s="40">
        <v>599</v>
      </c>
      <c r="B959" s="41" t="s">
        <v>999</v>
      </c>
      <c r="C959" s="41" t="s">
        <v>674</v>
      </c>
      <c r="D959" s="41" t="s">
        <v>647</v>
      </c>
      <c r="E959" s="41" t="s">
        <v>651</v>
      </c>
      <c r="F959" s="41" t="s">
        <v>1980</v>
      </c>
      <c r="G959" s="41" t="s">
        <v>656</v>
      </c>
      <c r="H959" s="41" t="s">
        <v>707</v>
      </c>
      <c r="I959" s="41" t="s">
        <v>700</v>
      </c>
      <c r="J959" s="41" t="s">
        <v>709</v>
      </c>
      <c r="K959" s="41" t="s">
        <v>732</v>
      </c>
      <c r="L959" s="41" t="s">
        <v>743</v>
      </c>
      <c r="M959" s="41">
        <v>0</v>
      </c>
      <c r="N959" s="44"/>
    </row>
    <row r="960" customHeight="1" spans="1:14">
      <c r="A960" s="38">
        <v>600</v>
      </c>
      <c r="B960" s="39" t="s">
        <v>1491</v>
      </c>
      <c r="C960" s="39" t="s">
        <v>691</v>
      </c>
      <c r="D960" s="39" t="s">
        <v>640</v>
      </c>
      <c r="E960" s="39" t="s">
        <v>658</v>
      </c>
      <c r="F960" s="39" t="s">
        <v>1981</v>
      </c>
      <c r="G960" s="39" t="s">
        <v>653</v>
      </c>
      <c r="H960" s="39" t="s">
        <v>707</v>
      </c>
      <c r="I960" s="39" t="s">
        <v>708</v>
      </c>
      <c r="J960" s="39" t="s">
        <v>678</v>
      </c>
      <c r="K960" s="39" t="s">
        <v>701</v>
      </c>
      <c r="L960" s="39" t="s">
        <v>680</v>
      </c>
      <c r="M960" s="39">
        <v>0.9</v>
      </c>
      <c r="N960" s="43"/>
    </row>
    <row r="961" customHeight="1" spans="1:14">
      <c r="A961" s="40">
        <v>601</v>
      </c>
      <c r="B961" s="41" t="s">
        <v>1210</v>
      </c>
      <c r="C961" s="41" t="s">
        <v>691</v>
      </c>
      <c r="D961" s="41" t="s">
        <v>639</v>
      </c>
      <c r="E961" s="41" t="s">
        <v>658</v>
      </c>
      <c r="F961" s="41" t="s">
        <v>1982</v>
      </c>
      <c r="G961" s="41" t="s">
        <v>656</v>
      </c>
      <c r="H961" s="41" t="s">
        <v>683</v>
      </c>
      <c r="I961" s="41" t="s">
        <v>677</v>
      </c>
      <c r="J961" s="41" t="s">
        <v>709</v>
      </c>
      <c r="K961" s="41" t="s">
        <v>732</v>
      </c>
      <c r="L961" s="41" t="s">
        <v>695</v>
      </c>
      <c r="M961" s="41">
        <v>0.6</v>
      </c>
      <c r="N961" s="44"/>
    </row>
    <row r="962" customHeight="1" spans="1:14">
      <c r="A962" s="38">
        <v>602</v>
      </c>
      <c r="B962" s="39" t="s">
        <v>1367</v>
      </c>
      <c r="C962" s="39" t="s">
        <v>691</v>
      </c>
      <c r="D962" s="39" t="s">
        <v>644</v>
      </c>
      <c r="E962" s="39" t="s">
        <v>658</v>
      </c>
      <c r="F962" s="39" t="s">
        <v>1983</v>
      </c>
      <c r="G962" s="39" t="s">
        <v>654</v>
      </c>
      <c r="H962" s="39" t="s">
        <v>718</v>
      </c>
      <c r="I962" s="39" t="s">
        <v>700</v>
      </c>
      <c r="J962" s="39" t="s">
        <v>678</v>
      </c>
      <c r="K962" s="39" t="s">
        <v>732</v>
      </c>
      <c r="L962" s="39" t="s">
        <v>680</v>
      </c>
      <c r="M962" s="39">
        <v>0.9</v>
      </c>
      <c r="N962" s="43"/>
    </row>
    <row r="963" customHeight="1" spans="1:14">
      <c r="A963" s="40">
        <v>603</v>
      </c>
      <c r="B963" s="41" t="s">
        <v>1327</v>
      </c>
      <c r="C963" s="41" t="s">
        <v>691</v>
      </c>
      <c r="D963" s="41" t="s">
        <v>641</v>
      </c>
      <c r="E963" s="41" t="s">
        <v>657</v>
      </c>
      <c r="F963" s="41" t="s">
        <v>1984</v>
      </c>
      <c r="G963" s="41" t="s">
        <v>652</v>
      </c>
      <c r="H963" s="41" t="s">
        <v>707</v>
      </c>
      <c r="I963" s="41" t="s">
        <v>688</v>
      </c>
      <c r="J963" s="41" t="s">
        <v>678</v>
      </c>
      <c r="K963" s="41" t="s">
        <v>679</v>
      </c>
      <c r="L963" s="41" t="s">
        <v>680</v>
      </c>
      <c r="M963" s="41">
        <v>0.9</v>
      </c>
      <c r="N963" s="44"/>
    </row>
    <row r="964" customHeight="1" spans="1:14">
      <c r="A964" s="38">
        <v>604</v>
      </c>
      <c r="B964" s="39" t="s">
        <v>1265</v>
      </c>
      <c r="C964" s="39" t="s">
        <v>691</v>
      </c>
      <c r="D964" s="39" t="s">
        <v>647</v>
      </c>
      <c r="E964" s="39" t="s">
        <v>651</v>
      </c>
      <c r="F964" s="39" t="s">
        <v>1985</v>
      </c>
      <c r="G964" s="39" t="s">
        <v>653</v>
      </c>
      <c r="H964" s="39" t="s">
        <v>687</v>
      </c>
      <c r="I964" s="39" t="s">
        <v>677</v>
      </c>
      <c r="J964" s="39" t="s">
        <v>709</v>
      </c>
      <c r="K964" s="39" t="s">
        <v>694</v>
      </c>
      <c r="L964" s="39" t="s">
        <v>719</v>
      </c>
      <c r="M964" s="39">
        <v>0</v>
      </c>
      <c r="N964" s="43"/>
    </row>
    <row r="965" customHeight="1" spans="1:14">
      <c r="A965" s="40">
        <v>605</v>
      </c>
      <c r="B965" s="41" t="s">
        <v>1029</v>
      </c>
      <c r="C965" s="41" t="s">
        <v>691</v>
      </c>
      <c r="D965" s="41" t="s">
        <v>647</v>
      </c>
      <c r="E965" s="41" t="s">
        <v>658</v>
      </c>
      <c r="F965" s="41" t="s">
        <v>1986</v>
      </c>
      <c r="G965" s="41" t="s">
        <v>652</v>
      </c>
      <c r="H965" s="41" t="s">
        <v>707</v>
      </c>
      <c r="I965" s="41" t="s">
        <v>677</v>
      </c>
      <c r="J965" s="41" t="s">
        <v>709</v>
      </c>
      <c r="K965" s="41" t="s">
        <v>701</v>
      </c>
      <c r="L965" s="41" t="s">
        <v>680</v>
      </c>
      <c r="M965" s="41">
        <v>0.9</v>
      </c>
      <c r="N965" s="44"/>
    </row>
    <row r="966" customHeight="1" spans="1:14">
      <c r="A966" s="38">
        <v>606</v>
      </c>
      <c r="B966" s="39" t="s">
        <v>1314</v>
      </c>
      <c r="C966" s="39" t="s">
        <v>674</v>
      </c>
      <c r="D966" s="39" t="s">
        <v>646</v>
      </c>
      <c r="E966" s="39" t="s">
        <v>657</v>
      </c>
      <c r="F966" s="39" t="s">
        <v>1987</v>
      </c>
      <c r="G966" s="39" t="s">
        <v>654</v>
      </c>
      <c r="H966" s="39" t="s">
        <v>676</v>
      </c>
      <c r="I966" s="39" t="s">
        <v>693</v>
      </c>
      <c r="J966" s="39" t="s">
        <v>678</v>
      </c>
      <c r="K966" s="39" t="s">
        <v>732</v>
      </c>
      <c r="L966" s="39" t="s">
        <v>715</v>
      </c>
      <c r="M966" s="39">
        <v>0</v>
      </c>
      <c r="N966" s="43"/>
    </row>
    <row r="967" customHeight="1" spans="1:14">
      <c r="A967" s="40">
        <v>607</v>
      </c>
      <c r="B967" s="41" t="s">
        <v>836</v>
      </c>
      <c r="C967" s="41" t="s">
        <v>691</v>
      </c>
      <c r="D967" s="41" t="s">
        <v>647</v>
      </c>
      <c r="E967" s="41" t="s">
        <v>657</v>
      </c>
      <c r="F967" s="41" t="s">
        <v>1988</v>
      </c>
      <c r="G967" s="41" t="s">
        <v>655</v>
      </c>
      <c r="H967" s="41" t="s">
        <v>683</v>
      </c>
      <c r="I967" s="41" t="s">
        <v>688</v>
      </c>
      <c r="J967" s="41" t="s">
        <v>678</v>
      </c>
      <c r="K967" s="41" t="s">
        <v>732</v>
      </c>
      <c r="L967" s="41" t="s">
        <v>743</v>
      </c>
      <c r="M967" s="41">
        <v>0</v>
      </c>
      <c r="N967" s="44"/>
    </row>
    <row r="968" customHeight="1" spans="1:14">
      <c r="A968" s="38">
        <v>608</v>
      </c>
      <c r="B968" s="39" t="s">
        <v>1073</v>
      </c>
      <c r="C968" s="39" t="s">
        <v>674</v>
      </c>
      <c r="D968" s="39" t="s">
        <v>647</v>
      </c>
      <c r="E968" s="39" t="s">
        <v>657</v>
      </c>
      <c r="F968" s="39" t="s">
        <v>1989</v>
      </c>
      <c r="G968" s="39" t="s">
        <v>654</v>
      </c>
      <c r="H968" s="39" t="s">
        <v>707</v>
      </c>
      <c r="I968" s="39" t="s">
        <v>688</v>
      </c>
      <c r="J968" s="39" t="s">
        <v>678</v>
      </c>
      <c r="K968" s="39" t="s">
        <v>701</v>
      </c>
      <c r="L968" s="39" t="s">
        <v>684</v>
      </c>
      <c r="M968" s="39">
        <v>0.85</v>
      </c>
      <c r="N968" s="43"/>
    </row>
    <row r="969" customHeight="1" spans="1:14">
      <c r="A969" s="40">
        <v>609</v>
      </c>
      <c r="B969" s="41" t="s">
        <v>901</v>
      </c>
      <c r="C969" s="41" t="s">
        <v>691</v>
      </c>
      <c r="D969" s="41" t="s">
        <v>638</v>
      </c>
      <c r="E969" s="41" t="s">
        <v>658</v>
      </c>
      <c r="F969" s="41" t="s">
        <v>1990</v>
      </c>
      <c r="G969" s="41" t="s">
        <v>656</v>
      </c>
      <c r="H969" s="41" t="s">
        <v>722</v>
      </c>
      <c r="I969" s="41" t="s">
        <v>708</v>
      </c>
      <c r="J969" s="41" t="s">
        <v>709</v>
      </c>
      <c r="K969" s="41" t="s">
        <v>732</v>
      </c>
      <c r="L969" s="41" t="s">
        <v>719</v>
      </c>
      <c r="M969" s="41">
        <v>0</v>
      </c>
      <c r="N969" s="44"/>
    </row>
    <row r="970" customHeight="1" spans="1:14">
      <c r="A970" s="38">
        <v>610</v>
      </c>
      <c r="B970" s="39" t="s">
        <v>933</v>
      </c>
      <c r="C970" s="39" t="s">
        <v>691</v>
      </c>
      <c r="D970" s="39" t="s">
        <v>647</v>
      </c>
      <c r="E970" s="39" t="s">
        <v>658</v>
      </c>
      <c r="F970" s="39" t="s">
        <v>1991</v>
      </c>
      <c r="G970" s="39" t="s">
        <v>652</v>
      </c>
      <c r="H970" s="39" t="s">
        <v>676</v>
      </c>
      <c r="I970" s="39" t="s">
        <v>688</v>
      </c>
      <c r="J970" s="39" t="s">
        <v>709</v>
      </c>
      <c r="K970" s="39" t="s">
        <v>689</v>
      </c>
      <c r="L970" s="39" t="s">
        <v>695</v>
      </c>
      <c r="M970" s="39">
        <v>0.6</v>
      </c>
      <c r="N970" s="43"/>
    </row>
    <row r="971" customHeight="1" spans="1:14">
      <c r="A971" s="40">
        <v>611</v>
      </c>
      <c r="B971" s="41" t="s">
        <v>954</v>
      </c>
      <c r="C971" s="41" t="s">
        <v>674</v>
      </c>
      <c r="D971" s="41" t="s">
        <v>645</v>
      </c>
      <c r="E971" s="41" t="s">
        <v>657</v>
      </c>
      <c r="F971" s="41" t="s">
        <v>1992</v>
      </c>
      <c r="G971" s="41" t="s">
        <v>652</v>
      </c>
      <c r="H971" s="41" t="s">
        <v>707</v>
      </c>
      <c r="I971" s="41" t="s">
        <v>693</v>
      </c>
      <c r="J971" s="41" t="s">
        <v>709</v>
      </c>
      <c r="K971" s="41" t="s">
        <v>689</v>
      </c>
      <c r="L971" s="41" t="s">
        <v>695</v>
      </c>
      <c r="M971" s="41">
        <v>0.6</v>
      </c>
      <c r="N971" s="44"/>
    </row>
    <row r="972" customHeight="1" spans="1:14">
      <c r="A972" s="38">
        <v>612</v>
      </c>
      <c r="B972" s="39" t="s">
        <v>1153</v>
      </c>
      <c r="C972" s="39" t="s">
        <v>674</v>
      </c>
      <c r="D972" s="39" t="s">
        <v>642</v>
      </c>
      <c r="E972" s="39" t="s">
        <v>651</v>
      </c>
      <c r="F972" s="39" t="s">
        <v>1993</v>
      </c>
      <c r="G972" s="39" t="s">
        <v>653</v>
      </c>
      <c r="H972" s="39" t="s">
        <v>687</v>
      </c>
      <c r="I972" s="39" t="s">
        <v>688</v>
      </c>
      <c r="J972" s="39" t="s">
        <v>678</v>
      </c>
      <c r="K972" s="39" t="s">
        <v>701</v>
      </c>
      <c r="L972" s="39" t="s">
        <v>695</v>
      </c>
      <c r="M972" s="39">
        <v>0.6</v>
      </c>
      <c r="N972" s="43"/>
    </row>
    <row r="973" customHeight="1" spans="1:14">
      <c r="A973" s="40">
        <v>613</v>
      </c>
      <c r="B973" s="41" t="s">
        <v>1258</v>
      </c>
      <c r="C973" s="41" t="s">
        <v>691</v>
      </c>
      <c r="D973" s="41" t="s">
        <v>640</v>
      </c>
      <c r="E973" s="41" t="s">
        <v>658</v>
      </c>
      <c r="F973" s="41" t="s">
        <v>1994</v>
      </c>
      <c r="G973" s="41" t="s">
        <v>656</v>
      </c>
      <c r="H973" s="41" t="s">
        <v>687</v>
      </c>
      <c r="I973" s="41" t="s">
        <v>700</v>
      </c>
      <c r="J973" s="41" t="s">
        <v>709</v>
      </c>
      <c r="K973" s="41" t="s">
        <v>679</v>
      </c>
      <c r="L973" s="41" t="s">
        <v>719</v>
      </c>
      <c r="M973" s="41">
        <v>0</v>
      </c>
      <c r="N973" s="44"/>
    </row>
    <row r="974" customHeight="1" spans="1:14">
      <c r="A974" s="38">
        <v>614</v>
      </c>
      <c r="B974" s="39" t="s">
        <v>758</v>
      </c>
      <c r="C974" s="39" t="s">
        <v>691</v>
      </c>
      <c r="D974" s="39" t="s">
        <v>638</v>
      </c>
      <c r="E974" s="39" t="s">
        <v>657</v>
      </c>
      <c r="F974" s="39" t="s">
        <v>1995</v>
      </c>
      <c r="G974" s="39" t="s">
        <v>656</v>
      </c>
      <c r="H974" s="39" t="s">
        <v>707</v>
      </c>
      <c r="I974" s="39" t="s">
        <v>708</v>
      </c>
      <c r="J974" s="39" t="s">
        <v>678</v>
      </c>
      <c r="K974" s="39" t="s">
        <v>701</v>
      </c>
      <c r="L974" s="39" t="s">
        <v>719</v>
      </c>
      <c r="M974" s="39">
        <v>0</v>
      </c>
      <c r="N974" s="43"/>
    </row>
    <row r="975" customHeight="1" spans="1:14">
      <c r="A975" s="40">
        <v>615</v>
      </c>
      <c r="B975" s="41" t="s">
        <v>1164</v>
      </c>
      <c r="C975" s="41" t="s">
        <v>691</v>
      </c>
      <c r="D975" s="41" t="s">
        <v>649</v>
      </c>
      <c r="E975" s="41" t="s">
        <v>658</v>
      </c>
      <c r="F975" s="41" t="s">
        <v>1996</v>
      </c>
      <c r="G975" s="41" t="s">
        <v>656</v>
      </c>
      <c r="H975" s="41" t="s">
        <v>683</v>
      </c>
      <c r="I975" s="41" t="s">
        <v>688</v>
      </c>
      <c r="J975" s="41" t="s">
        <v>709</v>
      </c>
      <c r="K975" s="41" t="s">
        <v>732</v>
      </c>
      <c r="L975" s="41" t="s">
        <v>715</v>
      </c>
      <c r="M975" s="41">
        <v>0</v>
      </c>
      <c r="N975" s="44"/>
    </row>
    <row r="976" customHeight="1" spans="1:14">
      <c r="A976" s="38">
        <v>616</v>
      </c>
      <c r="B976" s="39" t="s">
        <v>728</v>
      </c>
      <c r="C976" s="39" t="s">
        <v>691</v>
      </c>
      <c r="D976" s="39" t="s">
        <v>641</v>
      </c>
      <c r="E976" s="39" t="s">
        <v>657</v>
      </c>
      <c r="F976" s="39" t="s">
        <v>1997</v>
      </c>
      <c r="G976" s="39" t="s">
        <v>655</v>
      </c>
      <c r="H976" s="39" t="s">
        <v>687</v>
      </c>
      <c r="I976" s="39" t="s">
        <v>708</v>
      </c>
      <c r="J976" s="39" t="s">
        <v>709</v>
      </c>
      <c r="K976" s="39" t="s">
        <v>689</v>
      </c>
      <c r="L976" s="39" t="s">
        <v>719</v>
      </c>
      <c r="M976" s="39">
        <v>0</v>
      </c>
      <c r="N976" s="43"/>
    </row>
    <row r="977" customHeight="1" spans="1:14">
      <c r="A977" s="40">
        <v>617</v>
      </c>
      <c r="B977" s="41" t="s">
        <v>1071</v>
      </c>
      <c r="C977" s="41" t="s">
        <v>691</v>
      </c>
      <c r="D977" s="41" t="s">
        <v>649</v>
      </c>
      <c r="E977" s="41" t="s">
        <v>657</v>
      </c>
      <c r="F977" s="41" t="s">
        <v>1998</v>
      </c>
      <c r="G977" s="41" t="s">
        <v>655</v>
      </c>
      <c r="H977" s="41" t="s">
        <v>687</v>
      </c>
      <c r="I977" s="41" t="s">
        <v>677</v>
      </c>
      <c r="J977" s="41" t="s">
        <v>709</v>
      </c>
      <c r="K977" s="41" t="s">
        <v>689</v>
      </c>
      <c r="L977" s="41" t="s">
        <v>680</v>
      </c>
      <c r="M977" s="41">
        <v>0.9</v>
      </c>
      <c r="N977" s="44"/>
    </row>
    <row r="978" customHeight="1" spans="1:14">
      <c r="A978" s="38">
        <v>618</v>
      </c>
      <c r="B978" s="39" t="s">
        <v>1921</v>
      </c>
      <c r="C978" s="39" t="s">
        <v>691</v>
      </c>
      <c r="D978" s="39" t="s">
        <v>640</v>
      </c>
      <c r="E978" s="39" t="s">
        <v>657</v>
      </c>
      <c r="F978" s="39" t="s">
        <v>1999</v>
      </c>
      <c r="G978" s="39" t="s">
        <v>654</v>
      </c>
      <c r="H978" s="39" t="s">
        <v>683</v>
      </c>
      <c r="I978" s="39" t="s">
        <v>688</v>
      </c>
      <c r="J978" s="39" t="s">
        <v>678</v>
      </c>
      <c r="K978" s="39" t="s">
        <v>732</v>
      </c>
      <c r="L978" s="39" t="s">
        <v>684</v>
      </c>
      <c r="M978" s="39">
        <v>0.85</v>
      </c>
      <c r="N978" s="43"/>
    </row>
    <row r="979" customHeight="1" spans="1:14">
      <c r="A979" s="40">
        <v>619</v>
      </c>
      <c r="B979" s="41" t="s">
        <v>705</v>
      </c>
      <c r="C979" s="41" t="s">
        <v>691</v>
      </c>
      <c r="D979" s="41" t="s">
        <v>649</v>
      </c>
      <c r="E979" s="41" t="s">
        <v>658</v>
      </c>
      <c r="F979" s="41" t="s">
        <v>2000</v>
      </c>
      <c r="G979" s="41" t="s">
        <v>654</v>
      </c>
      <c r="H979" s="41" t="s">
        <v>683</v>
      </c>
      <c r="I979" s="41" t="s">
        <v>708</v>
      </c>
      <c r="J979" s="41" t="s">
        <v>678</v>
      </c>
      <c r="K979" s="41" t="s">
        <v>694</v>
      </c>
      <c r="L979" s="41" t="s">
        <v>680</v>
      </c>
      <c r="M979" s="41">
        <v>0.9</v>
      </c>
      <c r="N979" s="44"/>
    </row>
    <row r="980" customHeight="1" spans="1:14">
      <c r="A980" s="38">
        <v>620</v>
      </c>
      <c r="B980" s="39" t="s">
        <v>2001</v>
      </c>
      <c r="C980" s="39" t="s">
        <v>691</v>
      </c>
      <c r="D980" s="39" t="s">
        <v>638</v>
      </c>
      <c r="E980" s="39" t="s">
        <v>651</v>
      </c>
      <c r="F980" s="39" t="s">
        <v>2002</v>
      </c>
      <c r="G980" s="39" t="s">
        <v>654</v>
      </c>
      <c r="H980" s="39" t="s">
        <v>707</v>
      </c>
      <c r="I980" s="39" t="s">
        <v>688</v>
      </c>
      <c r="J980" s="39" t="s">
        <v>678</v>
      </c>
      <c r="K980" s="39" t="s">
        <v>694</v>
      </c>
      <c r="L980" s="39" t="s">
        <v>743</v>
      </c>
      <c r="M980" s="39">
        <v>0</v>
      </c>
      <c r="N980" s="43"/>
    </row>
    <row r="981" customHeight="1" spans="1:14">
      <c r="A981" s="40">
        <v>621</v>
      </c>
      <c r="B981" s="41" t="s">
        <v>960</v>
      </c>
      <c r="C981" s="41" t="s">
        <v>691</v>
      </c>
      <c r="D981" s="41" t="s">
        <v>647</v>
      </c>
      <c r="E981" s="41" t="s">
        <v>658</v>
      </c>
      <c r="F981" s="41" t="s">
        <v>2003</v>
      </c>
      <c r="G981" s="41" t="s">
        <v>652</v>
      </c>
      <c r="H981" s="41" t="s">
        <v>722</v>
      </c>
      <c r="I981" s="41" t="s">
        <v>693</v>
      </c>
      <c r="J981" s="41" t="s">
        <v>678</v>
      </c>
      <c r="K981" s="41" t="s">
        <v>694</v>
      </c>
      <c r="L981" s="41" t="s">
        <v>680</v>
      </c>
      <c r="M981" s="41">
        <v>0.9</v>
      </c>
      <c r="N981" s="44"/>
    </row>
    <row r="982" customHeight="1" spans="1:14">
      <c r="A982" s="38">
        <v>622</v>
      </c>
      <c r="B982" s="39" t="s">
        <v>792</v>
      </c>
      <c r="C982" s="39" t="s">
        <v>691</v>
      </c>
      <c r="D982" s="39" t="s">
        <v>642</v>
      </c>
      <c r="E982" s="39" t="s">
        <v>657</v>
      </c>
      <c r="F982" s="39" t="s">
        <v>2004</v>
      </c>
      <c r="G982" s="39" t="s">
        <v>653</v>
      </c>
      <c r="H982" s="39" t="s">
        <v>707</v>
      </c>
      <c r="I982" s="39" t="s">
        <v>693</v>
      </c>
      <c r="J982" s="39" t="s">
        <v>678</v>
      </c>
      <c r="K982" s="39" t="s">
        <v>710</v>
      </c>
      <c r="L982" s="39" t="s">
        <v>743</v>
      </c>
      <c r="M982" s="39">
        <v>0</v>
      </c>
      <c r="N982" s="43"/>
    </row>
    <row r="983" customHeight="1" spans="1:14">
      <c r="A983" s="40">
        <v>623</v>
      </c>
      <c r="B983" s="41" t="s">
        <v>1141</v>
      </c>
      <c r="C983" s="41" t="s">
        <v>691</v>
      </c>
      <c r="D983" s="41" t="s">
        <v>646</v>
      </c>
      <c r="E983" s="41" t="s">
        <v>657</v>
      </c>
      <c r="F983" s="41" t="s">
        <v>2005</v>
      </c>
      <c r="G983" s="41" t="s">
        <v>655</v>
      </c>
      <c r="H983" s="41" t="s">
        <v>687</v>
      </c>
      <c r="I983" s="41" t="s">
        <v>700</v>
      </c>
      <c r="J983" s="41" t="s">
        <v>709</v>
      </c>
      <c r="K983" s="41" t="s">
        <v>732</v>
      </c>
      <c r="L983" s="41" t="s">
        <v>695</v>
      </c>
      <c r="M983" s="41">
        <v>0.6</v>
      </c>
      <c r="N983" s="44"/>
    </row>
    <row r="984" customHeight="1" spans="1:14">
      <c r="A984" s="38">
        <v>624</v>
      </c>
      <c r="B984" s="39" t="s">
        <v>1046</v>
      </c>
      <c r="C984" s="39" t="s">
        <v>691</v>
      </c>
      <c r="D984" s="39" t="s">
        <v>638</v>
      </c>
      <c r="E984" s="39" t="s">
        <v>651</v>
      </c>
      <c r="F984" s="39" t="s">
        <v>2006</v>
      </c>
      <c r="G984" s="39" t="s">
        <v>655</v>
      </c>
      <c r="H984" s="39" t="s">
        <v>683</v>
      </c>
      <c r="I984" s="39" t="s">
        <v>688</v>
      </c>
      <c r="J984" s="39" t="s">
        <v>678</v>
      </c>
      <c r="K984" s="39" t="s">
        <v>694</v>
      </c>
      <c r="L984" s="39" t="s">
        <v>695</v>
      </c>
      <c r="M984" s="39">
        <v>0.6</v>
      </c>
      <c r="N984" s="43"/>
    </row>
    <row r="985" customHeight="1" spans="1:14">
      <c r="A985" s="40">
        <v>625</v>
      </c>
      <c r="B985" s="41" t="s">
        <v>1610</v>
      </c>
      <c r="C985" s="41" t="s">
        <v>691</v>
      </c>
      <c r="D985" s="41" t="s">
        <v>638</v>
      </c>
      <c r="E985" s="41" t="s">
        <v>651</v>
      </c>
      <c r="F985" s="41" t="s">
        <v>2007</v>
      </c>
      <c r="G985" s="41" t="s">
        <v>652</v>
      </c>
      <c r="H985" s="41" t="s">
        <v>676</v>
      </c>
      <c r="I985" s="41" t="s">
        <v>708</v>
      </c>
      <c r="J985" s="41" t="s">
        <v>678</v>
      </c>
      <c r="K985" s="41" t="s">
        <v>701</v>
      </c>
      <c r="L985" s="41" t="s">
        <v>719</v>
      </c>
      <c r="M985" s="41">
        <v>0</v>
      </c>
      <c r="N985" s="44"/>
    </row>
    <row r="986" customHeight="1" spans="1:14">
      <c r="A986" s="38">
        <v>626</v>
      </c>
      <c r="B986" s="39" t="s">
        <v>999</v>
      </c>
      <c r="C986" s="39" t="s">
        <v>674</v>
      </c>
      <c r="D986" s="39" t="s">
        <v>647</v>
      </c>
      <c r="E986" s="39" t="s">
        <v>651</v>
      </c>
      <c r="F986" s="39" t="s">
        <v>2008</v>
      </c>
      <c r="G986" s="39" t="s">
        <v>653</v>
      </c>
      <c r="H986" s="39" t="s">
        <v>727</v>
      </c>
      <c r="I986" s="39" t="s">
        <v>700</v>
      </c>
      <c r="J986" s="39" t="s">
        <v>678</v>
      </c>
      <c r="K986" s="39" t="s">
        <v>689</v>
      </c>
      <c r="L986" s="39" t="s">
        <v>684</v>
      </c>
      <c r="M986" s="39">
        <v>0.85</v>
      </c>
      <c r="N986" s="43"/>
    </row>
    <row r="987" customHeight="1" spans="1:14">
      <c r="A987" s="40">
        <v>627</v>
      </c>
      <c r="B987" s="41" t="s">
        <v>1057</v>
      </c>
      <c r="C987" s="41" t="s">
        <v>691</v>
      </c>
      <c r="D987" s="41" t="s">
        <v>644</v>
      </c>
      <c r="E987" s="41" t="s">
        <v>658</v>
      </c>
      <c r="F987" s="41" t="s">
        <v>2009</v>
      </c>
      <c r="G987" s="41" t="s">
        <v>654</v>
      </c>
      <c r="H987" s="41" t="s">
        <v>718</v>
      </c>
      <c r="I987" s="41" t="s">
        <v>688</v>
      </c>
      <c r="J987" s="41" t="s">
        <v>678</v>
      </c>
      <c r="K987" s="41" t="s">
        <v>694</v>
      </c>
      <c r="L987" s="41" t="s">
        <v>695</v>
      </c>
      <c r="M987" s="41">
        <v>0.6</v>
      </c>
      <c r="N987" s="44"/>
    </row>
    <row r="988" customHeight="1" spans="1:14">
      <c r="A988" s="38">
        <v>628</v>
      </c>
      <c r="B988" s="39" t="s">
        <v>776</v>
      </c>
      <c r="C988" s="39" t="s">
        <v>691</v>
      </c>
      <c r="D988" s="39" t="s">
        <v>645</v>
      </c>
      <c r="E988" s="39" t="s">
        <v>657</v>
      </c>
      <c r="F988" s="39" t="s">
        <v>2010</v>
      </c>
      <c r="G988" s="39" t="s">
        <v>655</v>
      </c>
      <c r="H988" s="39" t="s">
        <v>727</v>
      </c>
      <c r="I988" s="39" t="s">
        <v>677</v>
      </c>
      <c r="J988" s="39" t="s">
        <v>678</v>
      </c>
      <c r="K988" s="39" t="s">
        <v>701</v>
      </c>
      <c r="L988" s="39" t="s">
        <v>719</v>
      </c>
      <c r="M988" s="39">
        <v>0</v>
      </c>
      <c r="N988" s="43"/>
    </row>
    <row r="989" customHeight="1" spans="1:14">
      <c r="A989" s="40">
        <v>629</v>
      </c>
      <c r="B989" s="41" t="s">
        <v>980</v>
      </c>
      <c r="C989" s="41" t="s">
        <v>674</v>
      </c>
      <c r="D989" s="41" t="s">
        <v>640</v>
      </c>
      <c r="E989" s="41" t="s">
        <v>658</v>
      </c>
      <c r="F989" s="41" t="s">
        <v>2011</v>
      </c>
      <c r="G989" s="41" t="s">
        <v>654</v>
      </c>
      <c r="H989" s="41" t="s">
        <v>687</v>
      </c>
      <c r="I989" s="41" t="s">
        <v>688</v>
      </c>
      <c r="J989" s="41" t="s">
        <v>678</v>
      </c>
      <c r="K989" s="41" t="s">
        <v>694</v>
      </c>
      <c r="L989" s="41" t="s">
        <v>684</v>
      </c>
      <c r="M989" s="41">
        <v>0.85</v>
      </c>
      <c r="N989" s="44"/>
    </row>
    <row r="990" customHeight="1" spans="1:14">
      <c r="A990" s="38">
        <v>630</v>
      </c>
      <c r="B990" s="39" t="s">
        <v>1213</v>
      </c>
      <c r="C990" s="39" t="s">
        <v>691</v>
      </c>
      <c r="D990" s="39" t="s">
        <v>642</v>
      </c>
      <c r="E990" s="39" t="s">
        <v>658</v>
      </c>
      <c r="F990" s="39" t="s">
        <v>2012</v>
      </c>
      <c r="G990" s="39" t="s">
        <v>652</v>
      </c>
      <c r="H990" s="39" t="s">
        <v>727</v>
      </c>
      <c r="I990" s="39" t="s">
        <v>700</v>
      </c>
      <c r="J990" s="39" t="s">
        <v>678</v>
      </c>
      <c r="K990" s="39" t="s">
        <v>694</v>
      </c>
      <c r="L990" s="39" t="s">
        <v>684</v>
      </c>
      <c r="M990" s="39">
        <v>0.85</v>
      </c>
      <c r="N990" s="43"/>
    </row>
    <row r="991" customHeight="1" spans="1:14">
      <c r="A991" s="40">
        <v>631</v>
      </c>
      <c r="B991" s="41" t="s">
        <v>1748</v>
      </c>
      <c r="C991" s="41" t="s">
        <v>691</v>
      </c>
      <c r="D991" s="41" t="s">
        <v>639</v>
      </c>
      <c r="E991" s="41" t="s">
        <v>658</v>
      </c>
      <c r="F991" s="41" t="s">
        <v>2013</v>
      </c>
      <c r="G991" s="41" t="s">
        <v>653</v>
      </c>
      <c r="H991" s="41" t="s">
        <v>718</v>
      </c>
      <c r="I991" s="41" t="s">
        <v>688</v>
      </c>
      <c r="J991" s="41" t="s">
        <v>709</v>
      </c>
      <c r="K991" s="41" t="s">
        <v>710</v>
      </c>
      <c r="L991" s="41" t="s">
        <v>743</v>
      </c>
      <c r="M991" s="41">
        <v>0</v>
      </c>
      <c r="N991" s="44"/>
    </row>
    <row r="992" customHeight="1" spans="1:14">
      <c r="A992" s="38">
        <v>632</v>
      </c>
      <c r="B992" s="39" t="s">
        <v>937</v>
      </c>
      <c r="C992" s="39" t="s">
        <v>691</v>
      </c>
      <c r="D992" s="39" t="s">
        <v>642</v>
      </c>
      <c r="E992" s="39" t="s">
        <v>658</v>
      </c>
      <c r="F992" s="39" t="s">
        <v>2014</v>
      </c>
      <c r="G992" s="39" t="s">
        <v>655</v>
      </c>
      <c r="H992" s="39" t="s">
        <v>676</v>
      </c>
      <c r="I992" s="39" t="s">
        <v>688</v>
      </c>
      <c r="J992" s="39" t="s">
        <v>678</v>
      </c>
      <c r="K992" s="39" t="s">
        <v>701</v>
      </c>
      <c r="L992" s="39" t="s">
        <v>680</v>
      </c>
      <c r="M992" s="39">
        <v>0.9</v>
      </c>
      <c r="N992" s="43"/>
    </row>
    <row r="993" customHeight="1" spans="1:14">
      <c r="A993" s="40">
        <v>633</v>
      </c>
      <c r="B993" s="41" t="s">
        <v>1637</v>
      </c>
      <c r="C993" s="41" t="s">
        <v>691</v>
      </c>
      <c r="D993" s="41" t="s">
        <v>638</v>
      </c>
      <c r="E993" s="41" t="s">
        <v>658</v>
      </c>
      <c r="F993" s="41" t="s">
        <v>2015</v>
      </c>
      <c r="G993" s="41" t="s">
        <v>655</v>
      </c>
      <c r="H993" s="41" t="s">
        <v>683</v>
      </c>
      <c r="I993" s="41" t="s">
        <v>700</v>
      </c>
      <c r="J993" s="41" t="s">
        <v>678</v>
      </c>
      <c r="K993" s="41" t="s">
        <v>689</v>
      </c>
      <c r="L993" s="41" t="s">
        <v>719</v>
      </c>
      <c r="M993" s="41">
        <v>0</v>
      </c>
      <c r="N993" s="44"/>
    </row>
    <row r="994" customHeight="1" spans="1:14">
      <c r="A994" s="38">
        <v>634</v>
      </c>
      <c r="B994" s="39" t="s">
        <v>2016</v>
      </c>
      <c r="C994" s="39" t="s">
        <v>691</v>
      </c>
      <c r="D994" s="39" t="s">
        <v>640</v>
      </c>
      <c r="E994" s="39" t="s">
        <v>658</v>
      </c>
      <c r="F994" s="39" t="s">
        <v>2017</v>
      </c>
      <c r="G994" s="39" t="s">
        <v>656</v>
      </c>
      <c r="H994" s="39" t="s">
        <v>687</v>
      </c>
      <c r="I994" s="39" t="s">
        <v>677</v>
      </c>
      <c r="J994" s="39" t="s">
        <v>709</v>
      </c>
      <c r="K994" s="39" t="s">
        <v>710</v>
      </c>
      <c r="L994" s="39" t="s">
        <v>743</v>
      </c>
      <c r="M994" s="39">
        <v>0</v>
      </c>
      <c r="N994" s="43"/>
    </row>
    <row r="995" customHeight="1" spans="1:14">
      <c r="A995" s="40">
        <v>635</v>
      </c>
      <c r="B995" s="41" t="s">
        <v>673</v>
      </c>
      <c r="C995" s="41" t="s">
        <v>674</v>
      </c>
      <c r="D995" s="41" t="s">
        <v>641</v>
      </c>
      <c r="E995" s="41" t="s">
        <v>657</v>
      </c>
      <c r="F995" s="41" t="s">
        <v>2018</v>
      </c>
      <c r="G995" s="41" t="s">
        <v>652</v>
      </c>
      <c r="H995" s="41" t="s">
        <v>676</v>
      </c>
      <c r="I995" s="41" t="s">
        <v>693</v>
      </c>
      <c r="J995" s="41" t="s">
        <v>678</v>
      </c>
      <c r="K995" s="41" t="s">
        <v>701</v>
      </c>
      <c r="L995" s="41" t="s">
        <v>743</v>
      </c>
      <c r="M995" s="41">
        <v>0</v>
      </c>
      <c r="N995" s="44"/>
    </row>
    <row r="996" customHeight="1" spans="1:14">
      <c r="A996" s="38">
        <v>636</v>
      </c>
      <c r="B996" s="39" t="s">
        <v>1877</v>
      </c>
      <c r="C996" s="39" t="s">
        <v>691</v>
      </c>
      <c r="D996" s="39" t="s">
        <v>639</v>
      </c>
      <c r="E996" s="39" t="s">
        <v>657</v>
      </c>
      <c r="F996" s="39" t="s">
        <v>2019</v>
      </c>
      <c r="G996" s="39" t="s">
        <v>652</v>
      </c>
      <c r="H996" s="39" t="s">
        <v>687</v>
      </c>
      <c r="I996" s="39" t="s">
        <v>693</v>
      </c>
      <c r="J996" s="39" t="s">
        <v>709</v>
      </c>
      <c r="K996" s="39" t="s">
        <v>694</v>
      </c>
      <c r="L996" s="39" t="s">
        <v>719</v>
      </c>
      <c r="M996" s="39">
        <v>0</v>
      </c>
      <c r="N996" s="43"/>
    </row>
    <row r="997" customHeight="1" spans="1:14">
      <c r="A997" s="40">
        <v>637</v>
      </c>
      <c r="B997" s="41" t="s">
        <v>1625</v>
      </c>
      <c r="C997" s="41" t="s">
        <v>674</v>
      </c>
      <c r="D997" s="41" t="s">
        <v>647</v>
      </c>
      <c r="E997" s="41" t="s">
        <v>657</v>
      </c>
      <c r="F997" s="41" t="s">
        <v>2020</v>
      </c>
      <c r="G997" s="41" t="s">
        <v>654</v>
      </c>
      <c r="H997" s="41" t="s">
        <v>687</v>
      </c>
      <c r="I997" s="41" t="s">
        <v>700</v>
      </c>
      <c r="J997" s="41" t="s">
        <v>678</v>
      </c>
      <c r="K997" s="41" t="s">
        <v>701</v>
      </c>
      <c r="L997" s="41" t="s">
        <v>743</v>
      </c>
      <c r="M997" s="41">
        <v>0</v>
      </c>
      <c r="N997" s="44"/>
    </row>
    <row r="998" customHeight="1" spans="1:14">
      <c r="A998" s="38">
        <v>638</v>
      </c>
      <c r="B998" s="39" t="s">
        <v>1469</v>
      </c>
      <c r="C998" s="39" t="s">
        <v>674</v>
      </c>
      <c r="D998" s="39" t="s">
        <v>649</v>
      </c>
      <c r="E998" s="39" t="s">
        <v>657</v>
      </c>
      <c r="F998" s="39" t="s">
        <v>2021</v>
      </c>
      <c r="G998" s="39" t="s">
        <v>654</v>
      </c>
      <c r="H998" s="39" t="s">
        <v>683</v>
      </c>
      <c r="I998" s="39" t="s">
        <v>677</v>
      </c>
      <c r="J998" s="39" t="s">
        <v>678</v>
      </c>
      <c r="K998" s="39" t="s">
        <v>701</v>
      </c>
      <c r="L998" s="39" t="s">
        <v>684</v>
      </c>
      <c r="M998" s="39">
        <v>0.85</v>
      </c>
      <c r="N998" s="43"/>
    </row>
    <row r="999" customHeight="1" spans="1:14">
      <c r="A999" s="40">
        <v>639</v>
      </c>
      <c r="B999" s="41" t="s">
        <v>1265</v>
      </c>
      <c r="C999" s="41" t="s">
        <v>691</v>
      </c>
      <c r="D999" s="41" t="s">
        <v>647</v>
      </c>
      <c r="E999" s="41" t="s">
        <v>651</v>
      </c>
      <c r="F999" s="41" t="s">
        <v>2022</v>
      </c>
      <c r="G999" s="41" t="s">
        <v>653</v>
      </c>
      <c r="H999" s="41" t="s">
        <v>727</v>
      </c>
      <c r="I999" s="41" t="s">
        <v>677</v>
      </c>
      <c r="J999" s="41" t="s">
        <v>678</v>
      </c>
      <c r="K999" s="41" t="s">
        <v>679</v>
      </c>
      <c r="L999" s="41" t="s">
        <v>684</v>
      </c>
      <c r="M999" s="41">
        <v>0.85</v>
      </c>
      <c r="N999" s="44"/>
    </row>
    <row r="1000" customHeight="1" spans="1:14">
      <c r="A1000" s="38">
        <v>640</v>
      </c>
      <c r="B1000" s="39" t="s">
        <v>1061</v>
      </c>
      <c r="C1000" s="39" t="s">
        <v>691</v>
      </c>
      <c r="D1000" s="39" t="s">
        <v>638</v>
      </c>
      <c r="E1000" s="39" t="s">
        <v>651</v>
      </c>
      <c r="F1000" s="39" t="s">
        <v>2023</v>
      </c>
      <c r="G1000" s="39" t="s">
        <v>654</v>
      </c>
      <c r="H1000" s="39" t="s">
        <v>683</v>
      </c>
      <c r="I1000" s="39" t="s">
        <v>688</v>
      </c>
      <c r="J1000" s="39" t="s">
        <v>678</v>
      </c>
      <c r="K1000" s="39" t="s">
        <v>694</v>
      </c>
      <c r="L1000" s="39" t="s">
        <v>684</v>
      </c>
      <c r="M1000" s="39">
        <v>0.85</v>
      </c>
      <c r="N1000" s="43"/>
    </row>
    <row r="1001" customHeight="1" spans="1:14">
      <c r="A1001" s="40">
        <v>641</v>
      </c>
      <c r="B1001" s="41" t="s">
        <v>1606</v>
      </c>
      <c r="C1001" s="41" t="s">
        <v>674</v>
      </c>
      <c r="D1001" s="41" t="s">
        <v>638</v>
      </c>
      <c r="E1001" s="41" t="s">
        <v>651</v>
      </c>
      <c r="F1001" s="41" t="s">
        <v>2024</v>
      </c>
      <c r="G1001" s="41" t="s">
        <v>656</v>
      </c>
      <c r="H1001" s="41" t="s">
        <v>722</v>
      </c>
      <c r="I1001" s="41" t="s">
        <v>700</v>
      </c>
      <c r="J1001" s="41" t="s">
        <v>678</v>
      </c>
      <c r="K1001" s="41" t="s">
        <v>694</v>
      </c>
      <c r="L1001" s="41" t="s">
        <v>719</v>
      </c>
      <c r="M1001" s="41">
        <v>0</v>
      </c>
      <c r="N1001" s="44"/>
    </row>
    <row r="1002" customHeight="1" spans="1:14">
      <c r="A1002" s="38">
        <v>642</v>
      </c>
      <c r="B1002" s="39" t="s">
        <v>809</v>
      </c>
      <c r="C1002" s="39" t="s">
        <v>691</v>
      </c>
      <c r="D1002" s="39" t="s">
        <v>647</v>
      </c>
      <c r="E1002" s="39" t="s">
        <v>658</v>
      </c>
      <c r="F1002" s="39" t="s">
        <v>2025</v>
      </c>
      <c r="G1002" s="39" t="s">
        <v>655</v>
      </c>
      <c r="H1002" s="39" t="s">
        <v>727</v>
      </c>
      <c r="I1002" s="39" t="s">
        <v>693</v>
      </c>
      <c r="J1002" s="39" t="s">
        <v>709</v>
      </c>
      <c r="K1002" s="39" t="s">
        <v>732</v>
      </c>
      <c r="L1002" s="39" t="s">
        <v>719</v>
      </c>
      <c r="M1002" s="39">
        <v>0</v>
      </c>
      <c r="N1002" s="43"/>
    </row>
    <row r="1003" customHeight="1" spans="1:14">
      <c r="A1003" s="40">
        <v>643</v>
      </c>
      <c r="B1003" s="41" t="s">
        <v>2026</v>
      </c>
      <c r="C1003" s="41" t="s">
        <v>674</v>
      </c>
      <c r="D1003" s="41" t="s">
        <v>640</v>
      </c>
      <c r="E1003" s="41" t="s">
        <v>658</v>
      </c>
      <c r="F1003" s="41" t="s">
        <v>2027</v>
      </c>
      <c r="G1003" s="41" t="s">
        <v>653</v>
      </c>
      <c r="H1003" s="41" t="s">
        <v>722</v>
      </c>
      <c r="I1003" s="41" t="s">
        <v>693</v>
      </c>
      <c r="J1003" s="41" t="s">
        <v>678</v>
      </c>
      <c r="K1003" s="41" t="s">
        <v>710</v>
      </c>
      <c r="L1003" s="41" t="s">
        <v>719</v>
      </c>
      <c r="M1003" s="41">
        <v>0</v>
      </c>
      <c r="N1003" s="44"/>
    </row>
    <row r="1004" customHeight="1" spans="1:14">
      <c r="A1004" s="38">
        <v>644</v>
      </c>
      <c r="B1004" s="39" t="s">
        <v>2028</v>
      </c>
      <c r="C1004" s="39" t="s">
        <v>691</v>
      </c>
      <c r="D1004" s="39" t="s">
        <v>644</v>
      </c>
      <c r="E1004" s="39" t="s">
        <v>657</v>
      </c>
      <c r="F1004" s="39" t="s">
        <v>2029</v>
      </c>
      <c r="G1004" s="39" t="s">
        <v>656</v>
      </c>
      <c r="H1004" s="39" t="s">
        <v>722</v>
      </c>
      <c r="I1004" s="39" t="s">
        <v>688</v>
      </c>
      <c r="J1004" s="39" t="s">
        <v>678</v>
      </c>
      <c r="K1004" s="39" t="s">
        <v>710</v>
      </c>
      <c r="L1004" s="39" t="s">
        <v>680</v>
      </c>
      <c r="M1004" s="39">
        <v>0.9</v>
      </c>
      <c r="N1004" s="43"/>
    </row>
    <row r="1005" customHeight="1" spans="1:14">
      <c r="A1005" s="40">
        <v>645</v>
      </c>
      <c r="B1005" s="41" t="s">
        <v>1469</v>
      </c>
      <c r="C1005" s="41" t="s">
        <v>674</v>
      </c>
      <c r="D1005" s="41" t="s">
        <v>649</v>
      </c>
      <c r="E1005" s="41" t="s">
        <v>657</v>
      </c>
      <c r="F1005" s="41" t="s">
        <v>2030</v>
      </c>
      <c r="G1005" s="41" t="s">
        <v>655</v>
      </c>
      <c r="H1005" s="41" t="s">
        <v>718</v>
      </c>
      <c r="I1005" s="41" t="s">
        <v>693</v>
      </c>
      <c r="J1005" s="41" t="s">
        <v>709</v>
      </c>
      <c r="K1005" s="41" t="s">
        <v>679</v>
      </c>
      <c r="L1005" s="41" t="s">
        <v>695</v>
      </c>
      <c r="M1005" s="41">
        <v>0.6</v>
      </c>
      <c r="N1005" s="44"/>
    </row>
    <row r="1006" customHeight="1" spans="1:14">
      <c r="A1006" s="38">
        <v>646</v>
      </c>
      <c r="B1006" s="39" t="s">
        <v>1027</v>
      </c>
      <c r="C1006" s="39" t="s">
        <v>691</v>
      </c>
      <c r="D1006" s="39" t="s">
        <v>638</v>
      </c>
      <c r="E1006" s="39" t="s">
        <v>657</v>
      </c>
      <c r="F1006" s="39" t="s">
        <v>2031</v>
      </c>
      <c r="G1006" s="39" t="s">
        <v>653</v>
      </c>
      <c r="H1006" s="39" t="s">
        <v>683</v>
      </c>
      <c r="I1006" s="39" t="s">
        <v>693</v>
      </c>
      <c r="J1006" s="39" t="s">
        <v>678</v>
      </c>
      <c r="K1006" s="39" t="s">
        <v>694</v>
      </c>
      <c r="L1006" s="39" t="s">
        <v>719</v>
      </c>
      <c r="M1006" s="39">
        <v>0</v>
      </c>
      <c r="N1006" s="43"/>
    </row>
    <row r="1007" customHeight="1" spans="1:14">
      <c r="A1007" s="40">
        <v>647</v>
      </c>
      <c r="B1007" s="41" t="s">
        <v>982</v>
      </c>
      <c r="C1007" s="41" t="s">
        <v>674</v>
      </c>
      <c r="D1007" s="41" t="s">
        <v>638</v>
      </c>
      <c r="E1007" s="41" t="s">
        <v>651</v>
      </c>
      <c r="F1007" s="41" t="s">
        <v>2032</v>
      </c>
      <c r="G1007" s="41" t="s">
        <v>654</v>
      </c>
      <c r="H1007" s="41" t="s">
        <v>683</v>
      </c>
      <c r="I1007" s="41" t="s">
        <v>677</v>
      </c>
      <c r="J1007" s="41" t="s">
        <v>678</v>
      </c>
      <c r="K1007" s="41" t="s">
        <v>694</v>
      </c>
      <c r="L1007" s="41" t="s">
        <v>715</v>
      </c>
      <c r="M1007" s="41">
        <v>0</v>
      </c>
      <c r="N1007" s="44"/>
    </row>
    <row r="1008" customHeight="1" spans="1:14">
      <c r="A1008" s="38">
        <v>648</v>
      </c>
      <c r="B1008" s="39" t="s">
        <v>1730</v>
      </c>
      <c r="C1008" s="39" t="s">
        <v>691</v>
      </c>
      <c r="D1008" s="39" t="s">
        <v>638</v>
      </c>
      <c r="E1008" s="39" t="s">
        <v>651</v>
      </c>
      <c r="F1008" s="39" t="s">
        <v>2033</v>
      </c>
      <c r="G1008" s="39" t="s">
        <v>653</v>
      </c>
      <c r="H1008" s="39" t="s">
        <v>722</v>
      </c>
      <c r="I1008" s="39" t="s">
        <v>677</v>
      </c>
      <c r="J1008" s="39" t="s">
        <v>709</v>
      </c>
      <c r="K1008" s="39" t="s">
        <v>694</v>
      </c>
      <c r="L1008" s="39" t="s">
        <v>695</v>
      </c>
      <c r="M1008" s="39">
        <v>0.6</v>
      </c>
      <c r="N1008" s="43"/>
    </row>
    <row r="1009" customHeight="1" spans="1:14">
      <c r="A1009" s="40">
        <v>649</v>
      </c>
      <c r="B1009" s="41" t="s">
        <v>1174</v>
      </c>
      <c r="C1009" s="41" t="s">
        <v>691</v>
      </c>
      <c r="D1009" s="41" t="s">
        <v>639</v>
      </c>
      <c r="E1009" s="41" t="s">
        <v>658</v>
      </c>
      <c r="F1009" s="41" t="s">
        <v>2034</v>
      </c>
      <c r="G1009" s="41" t="s">
        <v>655</v>
      </c>
      <c r="H1009" s="41" t="s">
        <v>687</v>
      </c>
      <c r="I1009" s="41" t="s">
        <v>708</v>
      </c>
      <c r="J1009" s="41" t="s">
        <v>678</v>
      </c>
      <c r="K1009" s="41" t="s">
        <v>732</v>
      </c>
      <c r="L1009" s="41" t="s">
        <v>715</v>
      </c>
      <c r="M1009" s="41">
        <v>0</v>
      </c>
      <c r="N1009" s="44"/>
    </row>
    <row r="1010" customHeight="1" spans="1:14">
      <c r="A1010" s="38">
        <v>650</v>
      </c>
      <c r="B1010" s="39" t="s">
        <v>1029</v>
      </c>
      <c r="C1010" s="39" t="s">
        <v>691</v>
      </c>
      <c r="D1010" s="39" t="s">
        <v>647</v>
      </c>
      <c r="E1010" s="39" t="s">
        <v>658</v>
      </c>
      <c r="F1010" s="39" t="s">
        <v>2035</v>
      </c>
      <c r="G1010" s="39" t="s">
        <v>653</v>
      </c>
      <c r="H1010" s="39" t="s">
        <v>687</v>
      </c>
      <c r="I1010" s="39" t="s">
        <v>700</v>
      </c>
      <c r="J1010" s="39" t="s">
        <v>709</v>
      </c>
      <c r="K1010" s="39" t="s">
        <v>694</v>
      </c>
      <c r="L1010" s="39" t="s">
        <v>743</v>
      </c>
      <c r="M1010" s="39">
        <v>0</v>
      </c>
      <c r="N1010" s="43"/>
    </row>
    <row r="1011" customHeight="1" spans="1:14">
      <c r="A1011" s="40">
        <v>651</v>
      </c>
      <c r="B1011" s="41" t="s">
        <v>898</v>
      </c>
      <c r="C1011" s="41" t="s">
        <v>691</v>
      </c>
      <c r="D1011" s="41" t="s">
        <v>642</v>
      </c>
      <c r="E1011" s="41" t="s">
        <v>658</v>
      </c>
      <c r="F1011" s="41" t="s">
        <v>2036</v>
      </c>
      <c r="G1011" s="41" t="s">
        <v>653</v>
      </c>
      <c r="H1011" s="41" t="s">
        <v>687</v>
      </c>
      <c r="I1011" s="41" t="s">
        <v>708</v>
      </c>
      <c r="J1011" s="41" t="s">
        <v>678</v>
      </c>
      <c r="K1011" s="41" t="s">
        <v>679</v>
      </c>
      <c r="L1011" s="41" t="s">
        <v>684</v>
      </c>
      <c r="M1011" s="41">
        <v>0.85</v>
      </c>
      <c r="N1011" s="44"/>
    </row>
    <row r="1012" customHeight="1" spans="1:14">
      <c r="A1012" s="38">
        <v>652</v>
      </c>
      <c r="B1012" s="39" t="s">
        <v>2037</v>
      </c>
      <c r="C1012" s="39" t="s">
        <v>691</v>
      </c>
      <c r="D1012" s="39" t="s">
        <v>644</v>
      </c>
      <c r="E1012" s="39" t="s">
        <v>657</v>
      </c>
      <c r="F1012" s="39" t="s">
        <v>2038</v>
      </c>
      <c r="G1012" s="39" t="s">
        <v>653</v>
      </c>
      <c r="H1012" s="39" t="s">
        <v>722</v>
      </c>
      <c r="I1012" s="39" t="s">
        <v>708</v>
      </c>
      <c r="J1012" s="39" t="s">
        <v>678</v>
      </c>
      <c r="K1012" s="39" t="s">
        <v>694</v>
      </c>
      <c r="L1012" s="39" t="s">
        <v>684</v>
      </c>
      <c r="M1012" s="39">
        <v>0.85</v>
      </c>
      <c r="N1012" s="43"/>
    </row>
    <row r="1013" customHeight="1" spans="1:14">
      <c r="A1013" s="40">
        <v>653</v>
      </c>
      <c r="B1013" s="41" t="s">
        <v>1055</v>
      </c>
      <c r="C1013" s="41" t="s">
        <v>691</v>
      </c>
      <c r="D1013" s="41" t="s">
        <v>644</v>
      </c>
      <c r="E1013" s="41" t="s">
        <v>658</v>
      </c>
      <c r="F1013" s="41" t="s">
        <v>2039</v>
      </c>
      <c r="G1013" s="41" t="s">
        <v>655</v>
      </c>
      <c r="H1013" s="41" t="s">
        <v>683</v>
      </c>
      <c r="I1013" s="41" t="s">
        <v>677</v>
      </c>
      <c r="J1013" s="41" t="s">
        <v>709</v>
      </c>
      <c r="K1013" s="41" t="s">
        <v>732</v>
      </c>
      <c r="L1013" s="41" t="s">
        <v>684</v>
      </c>
      <c r="M1013" s="41">
        <v>0.85</v>
      </c>
      <c r="N1013" s="44"/>
    </row>
    <row r="1014" customHeight="1" spans="1:14">
      <c r="A1014" s="38">
        <v>654</v>
      </c>
      <c r="B1014" s="39" t="s">
        <v>1658</v>
      </c>
      <c r="C1014" s="39" t="s">
        <v>674</v>
      </c>
      <c r="D1014" s="39" t="s">
        <v>641</v>
      </c>
      <c r="E1014" s="39" t="s">
        <v>657</v>
      </c>
      <c r="F1014" s="39" t="s">
        <v>2040</v>
      </c>
      <c r="G1014" s="39" t="s">
        <v>652</v>
      </c>
      <c r="H1014" s="39" t="s">
        <v>707</v>
      </c>
      <c r="I1014" s="39" t="s">
        <v>708</v>
      </c>
      <c r="J1014" s="39" t="s">
        <v>709</v>
      </c>
      <c r="K1014" s="39" t="s">
        <v>679</v>
      </c>
      <c r="L1014" s="39" t="s">
        <v>719</v>
      </c>
      <c r="M1014" s="39">
        <v>0</v>
      </c>
      <c r="N1014" s="43"/>
    </row>
    <row r="1015" customHeight="1" spans="1:14">
      <c r="A1015" s="40">
        <v>655</v>
      </c>
      <c r="B1015" s="41" t="s">
        <v>1197</v>
      </c>
      <c r="C1015" s="41" t="s">
        <v>691</v>
      </c>
      <c r="D1015" s="41" t="s">
        <v>638</v>
      </c>
      <c r="E1015" s="41" t="s">
        <v>657</v>
      </c>
      <c r="F1015" s="41" t="s">
        <v>2041</v>
      </c>
      <c r="G1015" s="41" t="s">
        <v>656</v>
      </c>
      <c r="H1015" s="41" t="s">
        <v>722</v>
      </c>
      <c r="I1015" s="41" t="s">
        <v>700</v>
      </c>
      <c r="J1015" s="41" t="s">
        <v>709</v>
      </c>
      <c r="K1015" s="41" t="s">
        <v>710</v>
      </c>
      <c r="L1015" s="41" t="s">
        <v>743</v>
      </c>
      <c r="M1015" s="41">
        <v>0</v>
      </c>
      <c r="N1015" s="44"/>
    </row>
    <row r="1016" customHeight="1" spans="1:14">
      <c r="A1016" s="38">
        <v>656</v>
      </c>
      <c r="B1016" s="39" t="s">
        <v>892</v>
      </c>
      <c r="C1016" s="39" t="s">
        <v>691</v>
      </c>
      <c r="D1016" s="39" t="s">
        <v>642</v>
      </c>
      <c r="E1016" s="39" t="s">
        <v>658</v>
      </c>
      <c r="F1016" s="39" t="s">
        <v>2042</v>
      </c>
      <c r="G1016" s="39" t="s">
        <v>655</v>
      </c>
      <c r="H1016" s="39" t="s">
        <v>727</v>
      </c>
      <c r="I1016" s="39" t="s">
        <v>708</v>
      </c>
      <c r="J1016" s="39" t="s">
        <v>678</v>
      </c>
      <c r="K1016" s="39" t="s">
        <v>679</v>
      </c>
      <c r="L1016" s="39" t="s">
        <v>743</v>
      </c>
      <c r="M1016" s="39">
        <v>0</v>
      </c>
      <c r="N1016" s="43"/>
    </row>
    <row r="1017" customHeight="1" spans="1:14">
      <c r="A1017" s="40">
        <v>657</v>
      </c>
      <c r="B1017" s="41" t="s">
        <v>1164</v>
      </c>
      <c r="C1017" s="41" t="s">
        <v>691</v>
      </c>
      <c r="D1017" s="41" t="s">
        <v>649</v>
      </c>
      <c r="E1017" s="41" t="s">
        <v>658</v>
      </c>
      <c r="F1017" s="41" t="s">
        <v>2043</v>
      </c>
      <c r="G1017" s="41" t="s">
        <v>654</v>
      </c>
      <c r="H1017" s="41" t="s">
        <v>676</v>
      </c>
      <c r="I1017" s="41" t="s">
        <v>688</v>
      </c>
      <c r="J1017" s="41" t="s">
        <v>678</v>
      </c>
      <c r="K1017" s="41" t="s">
        <v>689</v>
      </c>
      <c r="L1017" s="41" t="s">
        <v>695</v>
      </c>
      <c r="M1017" s="41">
        <v>0.6</v>
      </c>
      <c r="N1017" s="44"/>
    </row>
    <row r="1018" customHeight="1" spans="1:14">
      <c r="A1018" s="38">
        <v>658</v>
      </c>
      <c r="B1018" s="39" t="s">
        <v>1166</v>
      </c>
      <c r="C1018" s="39" t="s">
        <v>691</v>
      </c>
      <c r="D1018" s="39" t="s">
        <v>645</v>
      </c>
      <c r="E1018" s="39" t="s">
        <v>658</v>
      </c>
      <c r="F1018" s="39" t="s">
        <v>2044</v>
      </c>
      <c r="G1018" s="39" t="s">
        <v>655</v>
      </c>
      <c r="H1018" s="39" t="s">
        <v>718</v>
      </c>
      <c r="I1018" s="39" t="s">
        <v>708</v>
      </c>
      <c r="J1018" s="39" t="s">
        <v>678</v>
      </c>
      <c r="K1018" s="39" t="s">
        <v>679</v>
      </c>
      <c r="L1018" s="39" t="s">
        <v>743</v>
      </c>
      <c r="M1018" s="39">
        <v>0</v>
      </c>
      <c r="N1018" s="43"/>
    </row>
    <row r="1019" customHeight="1" spans="1:14">
      <c r="A1019" s="40">
        <v>659</v>
      </c>
      <c r="B1019" s="41" t="s">
        <v>1552</v>
      </c>
      <c r="C1019" s="41" t="s">
        <v>691</v>
      </c>
      <c r="D1019" s="41" t="s">
        <v>648</v>
      </c>
      <c r="E1019" s="41" t="s">
        <v>658</v>
      </c>
      <c r="F1019" s="41" t="s">
        <v>2045</v>
      </c>
      <c r="G1019" s="41" t="s">
        <v>654</v>
      </c>
      <c r="H1019" s="41" t="s">
        <v>722</v>
      </c>
      <c r="I1019" s="41" t="s">
        <v>677</v>
      </c>
      <c r="J1019" s="41" t="s">
        <v>678</v>
      </c>
      <c r="K1019" s="41" t="s">
        <v>694</v>
      </c>
      <c r="L1019" s="41" t="s">
        <v>719</v>
      </c>
      <c r="M1019" s="41">
        <v>0</v>
      </c>
      <c r="N1019" s="44"/>
    </row>
    <row r="1020" customHeight="1" spans="1:14">
      <c r="A1020" s="38">
        <v>660</v>
      </c>
      <c r="B1020" s="39" t="s">
        <v>864</v>
      </c>
      <c r="C1020" s="39" t="s">
        <v>691</v>
      </c>
      <c r="D1020" s="39" t="s">
        <v>642</v>
      </c>
      <c r="E1020" s="39" t="s">
        <v>658</v>
      </c>
      <c r="F1020" s="39" t="s">
        <v>2046</v>
      </c>
      <c r="G1020" s="39" t="s">
        <v>653</v>
      </c>
      <c r="H1020" s="39" t="s">
        <v>727</v>
      </c>
      <c r="I1020" s="39" t="s">
        <v>677</v>
      </c>
      <c r="J1020" s="39" t="s">
        <v>678</v>
      </c>
      <c r="K1020" s="39" t="s">
        <v>732</v>
      </c>
      <c r="L1020" s="39" t="s">
        <v>719</v>
      </c>
      <c r="M1020" s="39">
        <v>0</v>
      </c>
      <c r="N1020" s="43"/>
    </row>
    <row r="1021" customHeight="1" spans="1:14">
      <c r="A1021" s="40">
        <v>661</v>
      </c>
      <c r="B1021" s="41" t="s">
        <v>1044</v>
      </c>
      <c r="C1021" s="41" t="s">
        <v>691</v>
      </c>
      <c r="D1021" s="41" t="s">
        <v>639</v>
      </c>
      <c r="E1021" s="41" t="s">
        <v>658</v>
      </c>
      <c r="F1021" s="41" t="s">
        <v>2047</v>
      </c>
      <c r="G1021" s="41" t="s">
        <v>656</v>
      </c>
      <c r="H1021" s="41" t="s">
        <v>687</v>
      </c>
      <c r="I1021" s="41" t="s">
        <v>693</v>
      </c>
      <c r="J1021" s="41" t="s">
        <v>709</v>
      </c>
      <c r="K1021" s="41" t="s">
        <v>679</v>
      </c>
      <c r="L1021" s="41" t="s">
        <v>715</v>
      </c>
      <c r="M1021" s="41">
        <v>0</v>
      </c>
      <c r="N1021" s="44"/>
    </row>
    <row r="1022" customHeight="1" spans="1:14">
      <c r="A1022" s="38">
        <v>662</v>
      </c>
      <c r="B1022" s="39" t="s">
        <v>825</v>
      </c>
      <c r="C1022" s="39" t="s">
        <v>691</v>
      </c>
      <c r="D1022" s="39" t="s">
        <v>642</v>
      </c>
      <c r="E1022" s="39" t="s">
        <v>657</v>
      </c>
      <c r="F1022" s="39" t="s">
        <v>2048</v>
      </c>
      <c r="G1022" s="39" t="s">
        <v>654</v>
      </c>
      <c r="H1022" s="39" t="s">
        <v>722</v>
      </c>
      <c r="I1022" s="39" t="s">
        <v>700</v>
      </c>
      <c r="J1022" s="39" t="s">
        <v>678</v>
      </c>
      <c r="K1022" s="39" t="s">
        <v>732</v>
      </c>
      <c r="L1022" s="39" t="s">
        <v>695</v>
      </c>
      <c r="M1022" s="39">
        <v>0.6</v>
      </c>
      <c r="N1022" s="43"/>
    </row>
    <row r="1023" customHeight="1" spans="1:14">
      <c r="A1023" s="40">
        <v>663</v>
      </c>
      <c r="B1023" s="41" t="s">
        <v>780</v>
      </c>
      <c r="C1023" s="41" t="s">
        <v>691</v>
      </c>
      <c r="D1023" s="41" t="s">
        <v>647</v>
      </c>
      <c r="E1023" s="41" t="s">
        <v>658</v>
      </c>
      <c r="F1023" s="41" t="s">
        <v>2049</v>
      </c>
      <c r="G1023" s="41" t="s">
        <v>654</v>
      </c>
      <c r="H1023" s="41" t="s">
        <v>687</v>
      </c>
      <c r="I1023" s="41" t="s">
        <v>677</v>
      </c>
      <c r="J1023" s="41" t="s">
        <v>678</v>
      </c>
      <c r="K1023" s="41" t="s">
        <v>701</v>
      </c>
      <c r="L1023" s="41" t="s">
        <v>743</v>
      </c>
      <c r="M1023" s="41">
        <v>0</v>
      </c>
      <c r="N1023" s="44"/>
    </row>
    <row r="1024" customHeight="1" spans="1:14">
      <c r="A1024" s="38">
        <v>664</v>
      </c>
      <c r="B1024" s="39" t="s">
        <v>894</v>
      </c>
      <c r="C1024" s="39" t="s">
        <v>691</v>
      </c>
      <c r="D1024" s="39" t="s">
        <v>639</v>
      </c>
      <c r="E1024" s="39" t="s">
        <v>657</v>
      </c>
      <c r="F1024" s="39" t="s">
        <v>2050</v>
      </c>
      <c r="G1024" s="39" t="s">
        <v>653</v>
      </c>
      <c r="H1024" s="39" t="s">
        <v>683</v>
      </c>
      <c r="I1024" s="39" t="s">
        <v>677</v>
      </c>
      <c r="J1024" s="39" t="s">
        <v>709</v>
      </c>
      <c r="K1024" s="39" t="s">
        <v>679</v>
      </c>
      <c r="L1024" s="39" t="s">
        <v>695</v>
      </c>
      <c r="M1024" s="39">
        <v>0.6</v>
      </c>
      <c r="N1024" s="43"/>
    </row>
    <row r="1025" customHeight="1" spans="1:14">
      <c r="A1025" s="40">
        <v>665</v>
      </c>
      <c r="B1025" s="41" t="s">
        <v>2028</v>
      </c>
      <c r="C1025" s="41" t="s">
        <v>691</v>
      </c>
      <c r="D1025" s="41" t="s">
        <v>644</v>
      </c>
      <c r="E1025" s="41" t="s">
        <v>657</v>
      </c>
      <c r="F1025" s="41" t="s">
        <v>2051</v>
      </c>
      <c r="G1025" s="41" t="s">
        <v>655</v>
      </c>
      <c r="H1025" s="41" t="s">
        <v>683</v>
      </c>
      <c r="I1025" s="41" t="s">
        <v>677</v>
      </c>
      <c r="J1025" s="41" t="s">
        <v>709</v>
      </c>
      <c r="K1025" s="41" t="s">
        <v>679</v>
      </c>
      <c r="L1025" s="41" t="s">
        <v>695</v>
      </c>
      <c r="M1025" s="41">
        <v>0.6</v>
      </c>
      <c r="N1025" s="44"/>
    </row>
    <row r="1026" customHeight="1" spans="1:14">
      <c r="A1026" s="38">
        <v>666</v>
      </c>
      <c r="B1026" s="39" t="s">
        <v>1075</v>
      </c>
      <c r="C1026" s="39" t="s">
        <v>691</v>
      </c>
      <c r="D1026" s="39" t="s">
        <v>645</v>
      </c>
      <c r="E1026" s="39" t="s">
        <v>651</v>
      </c>
      <c r="F1026" s="39" t="s">
        <v>2052</v>
      </c>
      <c r="G1026" s="39" t="s">
        <v>654</v>
      </c>
      <c r="H1026" s="39" t="s">
        <v>722</v>
      </c>
      <c r="I1026" s="39" t="s">
        <v>693</v>
      </c>
      <c r="J1026" s="39" t="s">
        <v>678</v>
      </c>
      <c r="K1026" s="39" t="s">
        <v>694</v>
      </c>
      <c r="L1026" s="39" t="s">
        <v>715</v>
      </c>
      <c r="M1026" s="39">
        <v>0</v>
      </c>
      <c r="N1026" s="43"/>
    </row>
    <row r="1027" customHeight="1" spans="1:14">
      <c r="A1027" s="40">
        <v>667</v>
      </c>
      <c r="B1027" s="41" t="s">
        <v>1479</v>
      </c>
      <c r="C1027" s="41" t="s">
        <v>691</v>
      </c>
      <c r="D1027" s="41" t="s">
        <v>640</v>
      </c>
      <c r="E1027" s="41" t="s">
        <v>657</v>
      </c>
      <c r="F1027" s="41" t="s">
        <v>2053</v>
      </c>
      <c r="G1027" s="41" t="s">
        <v>652</v>
      </c>
      <c r="H1027" s="41" t="s">
        <v>707</v>
      </c>
      <c r="I1027" s="41" t="s">
        <v>688</v>
      </c>
      <c r="J1027" s="41" t="s">
        <v>709</v>
      </c>
      <c r="K1027" s="41" t="s">
        <v>732</v>
      </c>
      <c r="L1027" s="41" t="s">
        <v>715</v>
      </c>
      <c r="M1027" s="41">
        <v>0</v>
      </c>
      <c r="N1027" s="44"/>
    </row>
    <row r="1028" customHeight="1" spans="1:14">
      <c r="A1028" s="38">
        <v>668</v>
      </c>
      <c r="B1028" s="39" t="s">
        <v>2016</v>
      </c>
      <c r="C1028" s="39" t="s">
        <v>691</v>
      </c>
      <c r="D1028" s="39" t="s">
        <v>640</v>
      </c>
      <c r="E1028" s="39" t="s">
        <v>658</v>
      </c>
      <c r="F1028" s="39" t="s">
        <v>2054</v>
      </c>
      <c r="G1028" s="39" t="s">
        <v>656</v>
      </c>
      <c r="H1028" s="39" t="s">
        <v>727</v>
      </c>
      <c r="I1028" s="39" t="s">
        <v>708</v>
      </c>
      <c r="J1028" s="39" t="s">
        <v>709</v>
      </c>
      <c r="K1028" s="39" t="s">
        <v>710</v>
      </c>
      <c r="L1028" s="39" t="s">
        <v>743</v>
      </c>
      <c r="M1028" s="39">
        <v>0</v>
      </c>
      <c r="N1028" s="43"/>
    </row>
    <row r="1029" customHeight="1" spans="1:14">
      <c r="A1029" s="40">
        <v>669</v>
      </c>
      <c r="B1029" s="41" t="s">
        <v>1976</v>
      </c>
      <c r="C1029" s="41" t="s">
        <v>674</v>
      </c>
      <c r="D1029" s="41" t="s">
        <v>638</v>
      </c>
      <c r="E1029" s="41" t="s">
        <v>658</v>
      </c>
      <c r="F1029" s="41" t="s">
        <v>2055</v>
      </c>
      <c r="G1029" s="41" t="s">
        <v>655</v>
      </c>
      <c r="H1029" s="41" t="s">
        <v>676</v>
      </c>
      <c r="I1029" s="41" t="s">
        <v>708</v>
      </c>
      <c r="J1029" s="41" t="s">
        <v>678</v>
      </c>
      <c r="K1029" s="41" t="s">
        <v>694</v>
      </c>
      <c r="L1029" s="41" t="s">
        <v>715</v>
      </c>
      <c r="M1029" s="41">
        <v>0</v>
      </c>
      <c r="N1029" s="44"/>
    </row>
    <row r="1030" customHeight="1" spans="1:14">
      <c r="A1030" s="38">
        <v>670</v>
      </c>
      <c r="B1030" s="39" t="s">
        <v>1758</v>
      </c>
      <c r="C1030" s="39" t="s">
        <v>691</v>
      </c>
      <c r="D1030" s="39" t="s">
        <v>644</v>
      </c>
      <c r="E1030" s="39" t="s">
        <v>658</v>
      </c>
      <c r="F1030" s="39" t="s">
        <v>2056</v>
      </c>
      <c r="G1030" s="39" t="s">
        <v>656</v>
      </c>
      <c r="H1030" s="39" t="s">
        <v>707</v>
      </c>
      <c r="I1030" s="39" t="s">
        <v>693</v>
      </c>
      <c r="J1030" s="39" t="s">
        <v>709</v>
      </c>
      <c r="K1030" s="39" t="s">
        <v>710</v>
      </c>
      <c r="L1030" s="39" t="s">
        <v>743</v>
      </c>
      <c r="M1030" s="39">
        <v>0</v>
      </c>
      <c r="N1030" s="43"/>
    </row>
    <row r="1031" customHeight="1" spans="1:14">
      <c r="A1031" s="40">
        <v>671</v>
      </c>
      <c r="B1031" s="41" t="s">
        <v>1161</v>
      </c>
      <c r="C1031" s="41" t="s">
        <v>674</v>
      </c>
      <c r="D1031" s="41" t="s">
        <v>647</v>
      </c>
      <c r="E1031" s="41" t="s">
        <v>657</v>
      </c>
      <c r="F1031" s="41" t="s">
        <v>2057</v>
      </c>
      <c r="G1031" s="41" t="s">
        <v>655</v>
      </c>
      <c r="H1031" s="41" t="s">
        <v>707</v>
      </c>
      <c r="I1031" s="41" t="s">
        <v>708</v>
      </c>
      <c r="J1031" s="41" t="s">
        <v>678</v>
      </c>
      <c r="K1031" s="41" t="s">
        <v>710</v>
      </c>
      <c r="L1031" s="41" t="s">
        <v>743</v>
      </c>
      <c r="M1031" s="41">
        <v>0</v>
      </c>
      <c r="N1031" s="44"/>
    </row>
    <row r="1032" customHeight="1" spans="1:14">
      <c r="A1032" s="38">
        <v>672</v>
      </c>
      <c r="B1032" s="39" t="s">
        <v>1202</v>
      </c>
      <c r="C1032" s="39" t="s">
        <v>691</v>
      </c>
      <c r="D1032" s="39" t="s">
        <v>642</v>
      </c>
      <c r="E1032" s="39" t="s">
        <v>658</v>
      </c>
      <c r="F1032" s="39" t="s">
        <v>2058</v>
      </c>
      <c r="G1032" s="39" t="s">
        <v>652</v>
      </c>
      <c r="H1032" s="39" t="s">
        <v>718</v>
      </c>
      <c r="I1032" s="39" t="s">
        <v>677</v>
      </c>
      <c r="J1032" s="39" t="s">
        <v>709</v>
      </c>
      <c r="K1032" s="39" t="s">
        <v>732</v>
      </c>
      <c r="L1032" s="39" t="s">
        <v>715</v>
      </c>
      <c r="M1032" s="39">
        <v>0</v>
      </c>
      <c r="N1032" s="43"/>
    </row>
    <row r="1033" customHeight="1" spans="1:14">
      <c r="A1033" s="40">
        <v>673</v>
      </c>
      <c r="B1033" s="41" t="s">
        <v>1278</v>
      </c>
      <c r="C1033" s="41" t="s">
        <v>691</v>
      </c>
      <c r="D1033" s="41" t="s">
        <v>644</v>
      </c>
      <c r="E1033" s="41" t="s">
        <v>657</v>
      </c>
      <c r="F1033" s="41" t="s">
        <v>2059</v>
      </c>
      <c r="G1033" s="41" t="s">
        <v>655</v>
      </c>
      <c r="H1033" s="41" t="s">
        <v>676</v>
      </c>
      <c r="I1033" s="41" t="s">
        <v>708</v>
      </c>
      <c r="J1033" s="41" t="s">
        <v>678</v>
      </c>
      <c r="K1033" s="41" t="s">
        <v>694</v>
      </c>
      <c r="L1033" s="41" t="s">
        <v>680</v>
      </c>
      <c r="M1033" s="41">
        <v>0.9</v>
      </c>
      <c r="N1033" s="44"/>
    </row>
    <row r="1034" customHeight="1" spans="1:14">
      <c r="A1034" s="38">
        <v>674</v>
      </c>
      <c r="B1034" s="39" t="s">
        <v>862</v>
      </c>
      <c r="C1034" s="39" t="s">
        <v>674</v>
      </c>
      <c r="D1034" s="39" t="s">
        <v>646</v>
      </c>
      <c r="E1034" s="39" t="s">
        <v>658</v>
      </c>
      <c r="F1034" s="39" t="s">
        <v>2060</v>
      </c>
      <c r="G1034" s="39" t="s">
        <v>653</v>
      </c>
      <c r="H1034" s="39" t="s">
        <v>687</v>
      </c>
      <c r="I1034" s="39" t="s">
        <v>677</v>
      </c>
      <c r="J1034" s="39" t="s">
        <v>678</v>
      </c>
      <c r="K1034" s="39" t="s">
        <v>679</v>
      </c>
      <c r="L1034" s="39" t="s">
        <v>719</v>
      </c>
      <c r="M1034" s="39">
        <v>0</v>
      </c>
      <c r="N1034" s="43"/>
    </row>
    <row r="1035" customHeight="1" spans="1:14">
      <c r="A1035" s="40">
        <v>675</v>
      </c>
      <c r="B1035" s="41" t="s">
        <v>1289</v>
      </c>
      <c r="C1035" s="41" t="s">
        <v>691</v>
      </c>
      <c r="D1035" s="41" t="s">
        <v>647</v>
      </c>
      <c r="E1035" s="41" t="s">
        <v>658</v>
      </c>
      <c r="F1035" s="41" t="s">
        <v>2061</v>
      </c>
      <c r="G1035" s="41" t="s">
        <v>656</v>
      </c>
      <c r="H1035" s="41" t="s">
        <v>727</v>
      </c>
      <c r="I1035" s="41" t="s">
        <v>700</v>
      </c>
      <c r="J1035" s="41" t="s">
        <v>678</v>
      </c>
      <c r="K1035" s="41" t="s">
        <v>689</v>
      </c>
      <c r="L1035" s="41" t="s">
        <v>680</v>
      </c>
      <c r="M1035" s="41">
        <v>0.9</v>
      </c>
      <c r="N1035" s="44"/>
    </row>
    <row r="1036" customHeight="1" spans="1:14">
      <c r="A1036" s="38">
        <v>676</v>
      </c>
      <c r="B1036" s="39" t="s">
        <v>1726</v>
      </c>
      <c r="C1036" s="39" t="s">
        <v>674</v>
      </c>
      <c r="D1036" s="39" t="s">
        <v>645</v>
      </c>
      <c r="E1036" s="39" t="s">
        <v>658</v>
      </c>
      <c r="F1036" s="39" t="s">
        <v>2062</v>
      </c>
      <c r="G1036" s="39" t="s">
        <v>654</v>
      </c>
      <c r="H1036" s="39" t="s">
        <v>683</v>
      </c>
      <c r="I1036" s="39" t="s">
        <v>708</v>
      </c>
      <c r="J1036" s="39" t="s">
        <v>678</v>
      </c>
      <c r="K1036" s="39" t="s">
        <v>732</v>
      </c>
      <c r="L1036" s="39" t="s">
        <v>743</v>
      </c>
      <c r="M1036" s="39">
        <v>0</v>
      </c>
      <c r="N1036" s="43"/>
    </row>
    <row r="1037" customHeight="1" spans="1:14">
      <c r="A1037" s="40">
        <v>677</v>
      </c>
      <c r="B1037" s="41" t="s">
        <v>2063</v>
      </c>
      <c r="C1037" s="41" t="s">
        <v>691</v>
      </c>
      <c r="D1037" s="41" t="s">
        <v>647</v>
      </c>
      <c r="E1037" s="41" t="s">
        <v>657</v>
      </c>
      <c r="F1037" s="41" t="s">
        <v>2064</v>
      </c>
      <c r="G1037" s="41" t="s">
        <v>653</v>
      </c>
      <c r="H1037" s="41" t="s">
        <v>718</v>
      </c>
      <c r="I1037" s="41" t="s">
        <v>708</v>
      </c>
      <c r="J1037" s="41" t="s">
        <v>709</v>
      </c>
      <c r="K1037" s="41" t="s">
        <v>679</v>
      </c>
      <c r="L1037" s="41" t="s">
        <v>680</v>
      </c>
      <c r="M1037" s="41">
        <v>0.9</v>
      </c>
      <c r="N1037" s="44"/>
    </row>
    <row r="1038" customHeight="1" spans="1:14">
      <c r="A1038" s="38">
        <v>678</v>
      </c>
      <c r="B1038" s="39" t="s">
        <v>868</v>
      </c>
      <c r="C1038" s="39" t="s">
        <v>691</v>
      </c>
      <c r="D1038" s="39" t="s">
        <v>644</v>
      </c>
      <c r="E1038" s="39" t="s">
        <v>651</v>
      </c>
      <c r="F1038" s="39" t="s">
        <v>2065</v>
      </c>
      <c r="G1038" s="39" t="s">
        <v>654</v>
      </c>
      <c r="H1038" s="39" t="s">
        <v>727</v>
      </c>
      <c r="I1038" s="39" t="s">
        <v>677</v>
      </c>
      <c r="J1038" s="39" t="s">
        <v>678</v>
      </c>
      <c r="K1038" s="39" t="s">
        <v>701</v>
      </c>
      <c r="L1038" s="39" t="s">
        <v>684</v>
      </c>
      <c r="M1038" s="39">
        <v>0.85</v>
      </c>
      <c r="N1038" s="43"/>
    </row>
    <row r="1039" customHeight="1" spans="1:14">
      <c r="A1039" s="40">
        <v>679</v>
      </c>
      <c r="B1039" s="41" t="s">
        <v>1828</v>
      </c>
      <c r="C1039" s="41" t="s">
        <v>674</v>
      </c>
      <c r="D1039" s="41" t="s">
        <v>641</v>
      </c>
      <c r="E1039" s="41" t="s">
        <v>658</v>
      </c>
      <c r="F1039" s="41" t="s">
        <v>2066</v>
      </c>
      <c r="G1039" s="41" t="s">
        <v>654</v>
      </c>
      <c r="H1039" s="41" t="s">
        <v>687</v>
      </c>
      <c r="I1039" s="41" t="s">
        <v>708</v>
      </c>
      <c r="J1039" s="41" t="s">
        <v>678</v>
      </c>
      <c r="K1039" s="41" t="s">
        <v>679</v>
      </c>
      <c r="L1039" s="41" t="s">
        <v>695</v>
      </c>
      <c r="M1039" s="41">
        <v>0.6</v>
      </c>
      <c r="N1039" s="44"/>
    </row>
    <row r="1040" customHeight="1" spans="1:14">
      <c r="A1040" s="38">
        <v>680</v>
      </c>
      <c r="B1040" s="39" t="s">
        <v>673</v>
      </c>
      <c r="C1040" s="39" t="s">
        <v>674</v>
      </c>
      <c r="D1040" s="39" t="s">
        <v>641</v>
      </c>
      <c r="E1040" s="39" t="s">
        <v>657</v>
      </c>
      <c r="F1040" s="39" t="s">
        <v>2067</v>
      </c>
      <c r="G1040" s="39" t="s">
        <v>652</v>
      </c>
      <c r="H1040" s="39" t="s">
        <v>722</v>
      </c>
      <c r="I1040" s="39" t="s">
        <v>700</v>
      </c>
      <c r="J1040" s="39" t="s">
        <v>678</v>
      </c>
      <c r="K1040" s="39" t="s">
        <v>710</v>
      </c>
      <c r="L1040" s="39" t="s">
        <v>680</v>
      </c>
      <c r="M1040" s="39">
        <v>0.9</v>
      </c>
      <c r="N1040" s="43"/>
    </row>
    <row r="1041" customHeight="1" spans="1:14">
      <c r="A1041" s="40">
        <v>681</v>
      </c>
      <c r="B1041" s="41" t="s">
        <v>1521</v>
      </c>
      <c r="C1041" s="41" t="s">
        <v>691</v>
      </c>
      <c r="D1041" s="41" t="s">
        <v>647</v>
      </c>
      <c r="E1041" s="41" t="s">
        <v>657</v>
      </c>
      <c r="F1041" s="41" t="s">
        <v>2068</v>
      </c>
      <c r="G1041" s="41" t="s">
        <v>656</v>
      </c>
      <c r="H1041" s="41" t="s">
        <v>687</v>
      </c>
      <c r="I1041" s="41" t="s">
        <v>700</v>
      </c>
      <c r="J1041" s="41" t="s">
        <v>678</v>
      </c>
      <c r="K1041" s="41" t="s">
        <v>689</v>
      </c>
      <c r="L1041" s="41" t="s">
        <v>715</v>
      </c>
      <c r="M1041" s="41">
        <v>0</v>
      </c>
      <c r="N1041" s="44"/>
    </row>
    <row r="1042" customHeight="1" spans="1:14">
      <c r="A1042" s="38">
        <v>682</v>
      </c>
      <c r="B1042" s="39" t="s">
        <v>1712</v>
      </c>
      <c r="C1042" s="39" t="s">
        <v>703</v>
      </c>
      <c r="D1042" s="39" t="s">
        <v>646</v>
      </c>
      <c r="E1042" s="39" t="s">
        <v>658</v>
      </c>
      <c r="F1042" s="39" t="s">
        <v>2069</v>
      </c>
      <c r="G1042" s="39" t="s">
        <v>654</v>
      </c>
      <c r="H1042" s="39" t="s">
        <v>718</v>
      </c>
      <c r="I1042" s="39" t="s">
        <v>688</v>
      </c>
      <c r="J1042" s="39" t="s">
        <v>678</v>
      </c>
      <c r="K1042" s="39" t="s">
        <v>710</v>
      </c>
      <c r="L1042" s="39" t="s">
        <v>684</v>
      </c>
      <c r="M1042" s="39">
        <v>0.85</v>
      </c>
      <c r="N1042" s="43"/>
    </row>
    <row r="1043" customHeight="1" spans="1:14">
      <c r="A1043" s="40">
        <v>683</v>
      </c>
      <c r="B1043" s="41" t="s">
        <v>723</v>
      </c>
      <c r="C1043" s="41" t="s">
        <v>691</v>
      </c>
      <c r="D1043" s="41" t="s">
        <v>646</v>
      </c>
      <c r="E1043" s="41" t="s">
        <v>658</v>
      </c>
      <c r="F1043" s="41" t="s">
        <v>2070</v>
      </c>
      <c r="G1043" s="41" t="s">
        <v>655</v>
      </c>
      <c r="H1043" s="41" t="s">
        <v>727</v>
      </c>
      <c r="I1043" s="41" t="s">
        <v>708</v>
      </c>
      <c r="J1043" s="41" t="s">
        <v>678</v>
      </c>
      <c r="K1043" s="41" t="s">
        <v>701</v>
      </c>
      <c r="L1043" s="41" t="s">
        <v>715</v>
      </c>
      <c r="M1043" s="41">
        <v>0</v>
      </c>
      <c r="N1043" s="44"/>
    </row>
    <row r="1044" customHeight="1" spans="1:14">
      <c r="A1044" s="38">
        <v>684</v>
      </c>
      <c r="B1044" s="39" t="s">
        <v>907</v>
      </c>
      <c r="C1044" s="39" t="s">
        <v>674</v>
      </c>
      <c r="D1044" s="39" t="s">
        <v>645</v>
      </c>
      <c r="E1044" s="39" t="s">
        <v>651</v>
      </c>
      <c r="F1044" s="39" t="s">
        <v>2071</v>
      </c>
      <c r="G1044" s="39" t="s">
        <v>654</v>
      </c>
      <c r="H1044" s="39" t="s">
        <v>687</v>
      </c>
      <c r="I1044" s="39" t="s">
        <v>693</v>
      </c>
      <c r="J1044" s="39" t="s">
        <v>678</v>
      </c>
      <c r="K1044" s="39" t="s">
        <v>689</v>
      </c>
      <c r="L1044" s="39" t="s">
        <v>684</v>
      </c>
      <c r="M1044" s="39">
        <v>0.85</v>
      </c>
      <c r="N1044" s="43"/>
    </row>
    <row r="1045" customHeight="1" spans="1:14">
      <c r="A1045" s="40">
        <v>685</v>
      </c>
      <c r="B1045" s="41" t="s">
        <v>1494</v>
      </c>
      <c r="C1045" s="41" t="s">
        <v>691</v>
      </c>
      <c r="D1045" s="41" t="s">
        <v>649</v>
      </c>
      <c r="E1045" s="41" t="s">
        <v>658</v>
      </c>
      <c r="F1045" s="41" t="s">
        <v>2072</v>
      </c>
      <c r="G1045" s="41" t="s">
        <v>652</v>
      </c>
      <c r="H1045" s="41" t="s">
        <v>687</v>
      </c>
      <c r="I1045" s="41" t="s">
        <v>700</v>
      </c>
      <c r="J1045" s="41" t="s">
        <v>709</v>
      </c>
      <c r="K1045" s="41" t="s">
        <v>679</v>
      </c>
      <c r="L1045" s="41" t="s">
        <v>684</v>
      </c>
      <c r="M1045" s="41">
        <v>0.85</v>
      </c>
      <c r="N1045" s="44"/>
    </row>
    <row r="1046" customHeight="1" spans="1:14">
      <c r="A1046" s="38">
        <v>686</v>
      </c>
      <c r="B1046" s="39" t="s">
        <v>1596</v>
      </c>
      <c r="C1046" s="39" t="s">
        <v>691</v>
      </c>
      <c r="D1046" s="39" t="s">
        <v>644</v>
      </c>
      <c r="E1046" s="39" t="s">
        <v>657</v>
      </c>
      <c r="F1046" s="39" t="s">
        <v>2073</v>
      </c>
      <c r="G1046" s="39" t="s">
        <v>654</v>
      </c>
      <c r="H1046" s="39" t="s">
        <v>676</v>
      </c>
      <c r="I1046" s="39" t="s">
        <v>700</v>
      </c>
      <c r="J1046" s="39" t="s">
        <v>678</v>
      </c>
      <c r="K1046" s="39" t="s">
        <v>710</v>
      </c>
      <c r="L1046" s="39" t="s">
        <v>743</v>
      </c>
      <c r="M1046" s="39">
        <v>0</v>
      </c>
      <c r="N1046" s="43"/>
    </row>
    <row r="1047" customHeight="1" spans="1:14">
      <c r="A1047" s="40">
        <v>687</v>
      </c>
      <c r="B1047" s="41" t="s">
        <v>1921</v>
      </c>
      <c r="C1047" s="41" t="s">
        <v>691</v>
      </c>
      <c r="D1047" s="41" t="s">
        <v>640</v>
      </c>
      <c r="E1047" s="41" t="s">
        <v>657</v>
      </c>
      <c r="F1047" s="41" t="s">
        <v>2074</v>
      </c>
      <c r="G1047" s="41" t="s">
        <v>655</v>
      </c>
      <c r="H1047" s="41" t="s">
        <v>676</v>
      </c>
      <c r="I1047" s="41" t="s">
        <v>688</v>
      </c>
      <c r="J1047" s="41" t="s">
        <v>709</v>
      </c>
      <c r="K1047" s="41" t="s">
        <v>701</v>
      </c>
      <c r="L1047" s="41" t="s">
        <v>715</v>
      </c>
      <c r="M1047" s="41">
        <v>0</v>
      </c>
      <c r="N1047" s="44"/>
    </row>
    <row r="1048" customHeight="1" spans="1:14">
      <c r="A1048" s="38">
        <v>688</v>
      </c>
      <c r="B1048" s="39" t="s">
        <v>1120</v>
      </c>
      <c r="C1048" s="39" t="s">
        <v>674</v>
      </c>
      <c r="D1048" s="39" t="s">
        <v>641</v>
      </c>
      <c r="E1048" s="39" t="s">
        <v>657</v>
      </c>
      <c r="F1048" s="39" t="s">
        <v>2075</v>
      </c>
      <c r="G1048" s="39" t="s">
        <v>653</v>
      </c>
      <c r="H1048" s="39" t="s">
        <v>718</v>
      </c>
      <c r="I1048" s="39" t="s">
        <v>700</v>
      </c>
      <c r="J1048" s="39" t="s">
        <v>678</v>
      </c>
      <c r="K1048" s="39" t="s">
        <v>689</v>
      </c>
      <c r="L1048" s="39" t="s">
        <v>680</v>
      </c>
      <c r="M1048" s="39">
        <v>0.9</v>
      </c>
      <c r="N1048" s="43"/>
    </row>
    <row r="1049" customHeight="1" spans="1:14">
      <c r="A1049" s="40">
        <v>689</v>
      </c>
      <c r="B1049" s="41" t="s">
        <v>1976</v>
      </c>
      <c r="C1049" s="41" t="s">
        <v>674</v>
      </c>
      <c r="D1049" s="41" t="s">
        <v>638</v>
      </c>
      <c r="E1049" s="41" t="s">
        <v>658</v>
      </c>
      <c r="F1049" s="41" t="s">
        <v>2076</v>
      </c>
      <c r="G1049" s="41" t="s">
        <v>656</v>
      </c>
      <c r="H1049" s="41" t="s">
        <v>687</v>
      </c>
      <c r="I1049" s="41" t="s">
        <v>693</v>
      </c>
      <c r="J1049" s="41" t="s">
        <v>709</v>
      </c>
      <c r="K1049" s="41" t="s">
        <v>732</v>
      </c>
      <c r="L1049" s="41" t="s">
        <v>715</v>
      </c>
      <c r="M1049" s="41">
        <v>0</v>
      </c>
      <c r="N1049" s="44"/>
    </row>
    <row r="1050" customHeight="1" spans="1:14">
      <c r="A1050" s="38">
        <v>690</v>
      </c>
      <c r="B1050" s="39" t="s">
        <v>952</v>
      </c>
      <c r="C1050" s="39" t="s">
        <v>691</v>
      </c>
      <c r="D1050" s="39" t="s">
        <v>646</v>
      </c>
      <c r="E1050" s="39" t="s">
        <v>657</v>
      </c>
      <c r="F1050" s="39" t="s">
        <v>2077</v>
      </c>
      <c r="G1050" s="39" t="s">
        <v>655</v>
      </c>
      <c r="H1050" s="39" t="s">
        <v>722</v>
      </c>
      <c r="I1050" s="39" t="s">
        <v>693</v>
      </c>
      <c r="J1050" s="39" t="s">
        <v>678</v>
      </c>
      <c r="K1050" s="39" t="s">
        <v>732</v>
      </c>
      <c r="L1050" s="39" t="s">
        <v>715</v>
      </c>
      <c r="M1050" s="39">
        <v>0</v>
      </c>
      <c r="N1050" s="43"/>
    </row>
    <row r="1051" customHeight="1" spans="1:14">
      <c r="A1051" s="40">
        <v>691</v>
      </c>
      <c r="B1051" s="41" t="s">
        <v>1034</v>
      </c>
      <c r="C1051" s="41" t="s">
        <v>674</v>
      </c>
      <c r="D1051" s="41" t="s">
        <v>647</v>
      </c>
      <c r="E1051" s="41" t="s">
        <v>658</v>
      </c>
      <c r="F1051" s="41" t="s">
        <v>2078</v>
      </c>
      <c r="G1051" s="41" t="s">
        <v>652</v>
      </c>
      <c r="H1051" s="41" t="s">
        <v>676</v>
      </c>
      <c r="I1051" s="41" t="s">
        <v>677</v>
      </c>
      <c r="J1051" s="41" t="s">
        <v>678</v>
      </c>
      <c r="K1051" s="41" t="s">
        <v>679</v>
      </c>
      <c r="L1051" s="41" t="s">
        <v>695</v>
      </c>
      <c r="M1051" s="41">
        <v>0.6</v>
      </c>
      <c r="N1051" s="44"/>
    </row>
    <row r="1052" customHeight="1" spans="1:14">
      <c r="A1052" s="38">
        <v>692</v>
      </c>
      <c r="B1052" s="39" t="s">
        <v>1215</v>
      </c>
      <c r="C1052" s="39" t="s">
        <v>691</v>
      </c>
      <c r="D1052" s="39" t="s">
        <v>639</v>
      </c>
      <c r="E1052" s="39" t="s">
        <v>657</v>
      </c>
      <c r="F1052" s="39" t="s">
        <v>2079</v>
      </c>
      <c r="G1052" s="39" t="s">
        <v>655</v>
      </c>
      <c r="H1052" s="39" t="s">
        <v>718</v>
      </c>
      <c r="I1052" s="39" t="s">
        <v>688</v>
      </c>
      <c r="J1052" s="39" t="s">
        <v>678</v>
      </c>
      <c r="K1052" s="39" t="s">
        <v>689</v>
      </c>
      <c r="L1052" s="39" t="s">
        <v>719</v>
      </c>
      <c r="M1052" s="39">
        <v>0</v>
      </c>
      <c r="N1052" s="43"/>
    </row>
    <row r="1053" customHeight="1" spans="1:14">
      <c r="A1053" s="40">
        <v>693</v>
      </c>
      <c r="B1053" s="41" t="s">
        <v>929</v>
      </c>
      <c r="C1053" s="41" t="s">
        <v>691</v>
      </c>
      <c r="D1053" s="41" t="s">
        <v>646</v>
      </c>
      <c r="E1053" s="41" t="s">
        <v>658</v>
      </c>
      <c r="F1053" s="41" t="s">
        <v>2080</v>
      </c>
      <c r="G1053" s="41" t="s">
        <v>656</v>
      </c>
      <c r="H1053" s="41" t="s">
        <v>687</v>
      </c>
      <c r="I1053" s="41" t="s">
        <v>677</v>
      </c>
      <c r="J1053" s="41" t="s">
        <v>678</v>
      </c>
      <c r="K1053" s="41" t="s">
        <v>679</v>
      </c>
      <c r="L1053" s="41" t="s">
        <v>715</v>
      </c>
      <c r="M1053" s="41">
        <v>0</v>
      </c>
      <c r="N1053" s="44"/>
    </row>
    <row r="1054" customHeight="1" spans="1:14">
      <c r="A1054" s="38">
        <v>694</v>
      </c>
      <c r="B1054" s="39" t="s">
        <v>1296</v>
      </c>
      <c r="C1054" s="39" t="s">
        <v>691</v>
      </c>
      <c r="D1054" s="39" t="s">
        <v>647</v>
      </c>
      <c r="E1054" s="39" t="s">
        <v>657</v>
      </c>
      <c r="F1054" s="39" t="s">
        <v>2081</v>
      </c>
      <c r="G1054" s="39" t="s">
        <v>656</v>
      </c>
      <c r="H1054" s="39" t="s">
        <v>683</v>
      </c>
      <c r="I1054" s="39" t="s">
        <v>708</v>
      </c>
      <c r="J1054" s="39" t="s">
        <v>709</v>
      </c>
      <c r="K1054" s="39" t="s">
        <v>679</v>
      </c>
      <c r="L1054" s="39" t="s">
        <v>695</v>
      </c>
      <c r="M1054" s="39">
        <v>0.6</v>
      </c>
      <c r="N1054" s="43"/>
    </row>
    <row r="1055" customHeight="1" spans="1:14">
      <c r="A1055" s="40">
        <v>695</v>
      </c>
      <c r="B1055" s="41" t="s">
        <v>1007</v>
      </c>
      <c r="C1055" s="41" t="s">
        <v>674</v>
      </c>
      <c r="D1055" s="41" t="s">
        <v>649</v>
      </c>
      <c r="E1055" s="41" t="s">
        <v>658</v>
      </c>
      <c r="F1055" s="41" t="s">
        <v>2082</v>
      </c>
      <c r="G1055" s="41" t="s">
        <v>655</v>
      </c>
      <c r="H1055" s="41" t="s">
        <v>707</v>
      </c>
      <c r="I1055" s="41" t="s">
        <v>708</v>
      </c>
      <c r="J1055" s="41" t="s">
        <v>709</v>
      </c>
      <c r="K1055" s="41" t="s">
        <v>689</v>
      </c>
      <c r="L1055" s="41" t="s">
        <v>715</v>
      </c>
      <c r="M1055" s="41">
        <v>0</v>
      </c>
      <c r="N1055" s="44"/>
    </row>
    <row r="1056" customHeight="1" spans="1:14">
      <c r="A1056" s="38">
        <v>696</v>
      </c>
      <c r="B1056" s="39" t="s">
        <v>1339</v>
      </c>
      <c r="C1056" s="39" t="s">
        <v>674</v>
      </c>
      <c r="D1056" s="39" t="s">
        <v>643</v>
      </c>
      <c r="E1056" s="39" t="s">
        <v>657</v>
      </c>
      <c r="F1056" s="39" t="s">
        <v>2083</v>
      </c>
      <c r="G1056" s="39" t="s">
        <v>656</v>
      </c>
      <c r="H1056" s="39" t="s">
        <v>718</v>
      </c>
      <c r="I1056" s="39" t="s">
        <v>688</v>
      </c>
      <c r="J1056" s="39" t="s">
        <v>678</v>
      </c>
      <c r="K1056" s="39" t="s">
        <v>689</v>
      </c>
      <c r="L1056" s="39" t="s">
        <v>719</v>
      </c>
      <c r="M1056" s="39">
        <v>0</v>
      </c>
      <c r="N1056" s="43"/>
    </row>
    <row r="1057" customHeight="1" spans="1:14">
      <c r="A1057" s="40">
        <v>697</v>
      </c>
      <c r="B1057" s="41" t="s">
        <v>1051</v>
      </c>
      <c r="C1057" s="41" t="s">
        <v>691</v>
      </c>
      <c r="D1057" s="41" t="s">
        <v>645</v>
      </c>
      <c r="E1057" s="41" t="s">
        <v>657</v>
      </c>
      <c r="F1057" s="41" t="s">
        <v>2084</v>
      </c>
      <c r="G1057" s="41" t="s">
        <v>653</v>
      </c>
      <c r="H1057" s="41" t="s">
        <v>727</v>
      </c>
      <c r="I1057" s="41" t="s">
        <v>693</v>
      </c>
      <c r="J1057" s="41" t="s">
        <v>678</v>
      </c>
      <c r="K1057" s="41" t="s">
        <v>689</v>
      </c>
      <c r="L1057" s="41" t="s">
        <v>680</v>
      </c>
      <c r="M1057" s="41">
        <v>0.9</v>
      </c>
      <c r="N1057" s="44"/>
    </row>
    <row r="1058" customHeight="1" spans="1:14">
      <c r="A1058" s="38">
        <v>698</v>
      </c>
      <c r="B1058" s="39" t="s">
        <v>1055</v>
      </c>
      <c r="C1058" s="39" t="s">
        <v>691</v>
      </c>
      <c r="D1058" s="39" t="s">
        <v>644</v>
      </c>
      <c r="E1058" s="39" t="s">
        <v>658</v>
      </c>
      <c r="F1058" s="39" t="s">
        <v>2085</v>
      </c>
      <c r="G1058" s="39" t="s">
        <v>654</v>
      </c>
      <c r="H1058" s="39" t="s">
        <v>718</v>
      </c>
      <c r="I1058" s="39" t="s">
        <v>708</v>
      </c>
      <c r="J1058" s="39" t="s">
        <v>678</v>
      </c>
      <c r="K1058" s="39" t="s">
        <v>679</v>
      </c>
      <c r="L1058" s="39" t="s">
        <v>680</v>
      </c>
      <c r="M1058" s="39">
        <v>0.9</v>
      </c>
      <c r="N1058" s="43"/>
    </row>
    <row r="1059" customHeight="1" spans="1:14">
      <c r="A1059" s="40">
        <v>699</v>
      </c>
      <c r="B1059" s="41" t="s">
        <v>2016</v>
      </c>
      <c r="C1059" s="41" t="s">
        <v>691</v>
      </c>
      <c r="D1059" s="41" t="s">
        <v>640</v>
      </c>
      <c r="E1059" s="41" t="s">
        <v>658</v>
      </c>
      <c r="F1059" s="41" t="s">
        <v>2086</v>
      </c>
      <c r="G1059" s="41" t="s">
        <v>652</v>
      </c>
      <c r="H1059" s="41" t="s">
        <v>727</v>
      </c>
      <c r="I1059" s="41" t="s">
        <v>708</v>
      </c>
      <c r="J1059" s="41" t="s">
        <v>678</v>
      </c>
      <c r="K1059" s="41" t="s">
        <v>689</v>
      </c>
      <c r="L1059" s="41" t="s">
        <v>684</v>
      </c>
      <c r="M1059" s="41">
        <v>0.85</v>
      </c>
      <c r="N1059" s="44"/>
    </row>
    <row r="1060" customHeight="1" spans="1:14">
      <c r="A1060" s="38">
        <v>700</v>
      </c>
      <c r="B1060" s="39" t="s">
        <v>776</v>
      </c>
      <c r="C1060" s="39" t="s">
        <v>691</v>
      </c>
      <c r="D1060" s="39" t="s">
        <v>645</v>
      </c>
      <c r="E1060" s="39" t="s">
        <v>657</v>
      </c>
      <c r="F1060" s="39" t="s">
        <v>2087</v>
      </c>
      <c r="G1060" s="39" t="s">
        <v>655</v>
      </c>
      <c r="H1060" s="39" t="s">
        <v>727</v>
      </c>
      <c r="I1060" s="39" t="s">
        <v>688</v>
      </c>
      <c r="J1060" s="39" t="s">
        <v>678</v>
      </c>
      <c r="K1060" s="39" t="s">
        <v>701</v>
      </c>
      <c r="L1060" s="39" t="s">
        <v>684</v>
      </c>
      <c r="M1060" s="39">
        <v>0.85</v>
      </c>
      <c r="N1060" s="43"/>
    </row>
    <row r="1061" customHeight="1" spans="1:14">
      <c r="A1061" s="40">
        <v>701</v>
      </c>
      <c r="B1061" s="41" t="s">
        <v>685</v>
      </c>
      <c r="C1061" s="41" t="s">
        <v>674</v>
      </c>
      <c r="D1061" s="41" t="s">
        <v>645</v>
      </c>
      <c r="E1061" s="41" t="s">
        <v>651</v>
      </c>
      <c r="F1061" s="41" t="s">
        <v>2088</v>
      </c>
      <c r="G1061" s="41" t="s">
        <v>655</v>
      </c>
      <c r="H1061" s="41" t="s">
        <v>707</v>
      </c>
      <c r="I1061" s="41" t="s">
        <v>677</v>
      </c>
      <c r="J1061" s="41" t="s">
        <v>709</v>
      </c>
      <c r="K1061" s="41" t="s">
        <v>679</v>
      </c>
      <c r="L1061" s="41" t="s">
        <v>743</v>
      </c>
      <c r="M1061" s="41">
        <v>0</v>
      </c>
      <c r="N1061" s="44"/>
    </row>
    <row r="1062" customHeight="1" spans="1:14">
      <c r="A1062" s="38">
        <v>702</v>
      </c>
      <c r="B1062" s="39" t="s">
        <v>1779</v>
      </c>
      <c r="C1062" s="39" t="s">
        <v>691</v>
      </c>
      <c r="D1062" s="39" t="s">
        <v>641</v>
      </c>
      <c r="E1062" s="39" t="s">
        <v>657</v>
      </c>
      <c r="F1062" s="39" t="s">
        <v>2089</v>
      </c>
      <c r="G1062" s="39" t="s">
        <v>652</v>
      </c>
      <c r="H1062" s="39" t="s">
        <v>687</v>
      </c>
      <c r="I1062" s="39" t="s">
        <v>708</v>
      </c>
      <c r="J1062" s="39" t="s">
        <v>678</v>
      </c>
      <c r="K1062" s="39" t="s">
        <v>694</v>
      </c>
      <c r="L1062" s="39" t="s">
        <v>719</v>
      </c>
      <c r="M1062" s="39">
        <v>0</v>
      </c>
      <c r="N1062" s="43"/>
    </row>
    <row r="1063" customHeight="1" spans="1:14">
      <c r="A1063" s="40">
        <v>703</v>
      </c>
      <c r="B1063" s="41" t="s">
        <v>1241</v>
      </c>
      <c r="C1063" s="41" t="s">
        <v>691</v>
      </c>
      <c r="D1063" s="41" t="s">
        <v>642</v>
      </c>
      <c r="E1063" s="41" t="s">
        <v>658</v>
      </c>
      <c r="F1063" s="41" t="s">
        <v>2090</v>
      </c>
      <c r="G1063" s="41" t="s">
        <v>652</v>
      </c>
      <c r="H1063" s="41" t="s">
        <v>687</v>
      </c>
      <c r="I1063" s="41" t="s">
        <v>688</v>
      </c>
      <c r="J1063" s="41" t="s">
        <v>709</v>
      </c>
      <c r="K1063" s="41" t="s">
        <v>701</v>
      </c>
      <c r="L1063" s="41" t="s">
        <v>680</v>
      </c>
      <c r="M1063" s="41">
        <v>0.9</v>
      </c>
      <c r="N1063" s="44"/>
    </row>
    <row r="1064" customHeight="1" spans="1:14">
      <c r="A1064" s="38">
        <v>704</v>
      </c>
      <c r="B1064" s="39" t="s">
        <v>741</v>
      </c>
      <c r="C1064" s="39" t="s">
        <v>691</v>
      </c>
      <c r="D1064" s="39" t="s">
        <v>639</v>
      </c>
      <c r="E1064" s="39" t="s">
        <v>657</v>
      </c>
      <c r="F1064" s="39" t="s">
        <v>2091</v>
      </c>
      <c r="G1064" s="39" t="s">
        <v>656</v>
      </c>
      <c r="H1064" s="39" t="s">
        <v>718</v>
      </c>
      <c r="I1064" s="39" t="s">
        <v>688</v>
      </c>
      <c r="J1064" s="39" t="s">
        <v>678</v>
      </c>
      <c r="K1064" s="39" t="s">
        <v>679</v>
      </c>
      <c r="L1064" s="39" t="s">
        <v>680</v>
      </c>
      <c r="M1064" s="39">
        <v>0.9</v>
      </c>
      <c r="N1064" s="43"/>
    </row>
    <row r="1065" customHeight="1" spans="1:14">
      <c r="A1065" s="40">
        <v>705</v>
      </c>
      <c r="B1065" s="41" t="s">
        <v>1113</v>
      </c>
      <c r="C1065" s="41" t="s">
        <v>691</v>
      </c>
      <c r="D1065" s="41" t="s">
        <v>644</v>
      </c>
      <c r="E1065" s="41" t="s">
        <v>658</v>
      </c>
      <c r="F1065" s="41" t="s">
        <v>2092</v>
      </c>
      <c r="G1065" s="41" t="s">
        <v>654</v>
      </c>
      <c r="H1065" s="41" t="s">
        <v>687</v>
      </c>
      <c r="I1065" s="41" t="s">
        <v>677</v>
      </c>
      <c r="J1065" s="41" t="s">
        <v>678</v>
      </c>
      <c r="K1065" s="41" t="s">
        <v>689</v>
      </c>
      <c r="L1065" s="41" t="s">
        <v>684</v>
      </c>
      <c r="M1065" s="41">
        <v>0.85</v>
      </c>
      <c r="N1065" s="44"/>
    </row>
    <row r="1066" customHeight="1" spans="1:14">
      <c r="A1066" s="38">
        <v>706</v>
      </c>
      <c r="B1066" s="39" t="s">
        <v>713</v>
      </c>
      <c r="C1066" s="39" t="s">
        <v>691</v>
      </c>
      <c r="D1066" s="39" t="s">
        <v>647</v>
      </c>
      <c r="E1066" s="39" t="s">
        <v>658</v>
      </c>
      <c r="F1066" s="39" t="s">
        <v>2093</v>
      </c>
      <c r="G1066" s="39" t="s">
        <v>654</v>
      </c>
      <c r="H1066" s="39" t="s">
        <v>722</v>
      </c>
      <c r="I1066" s="39" t="s">
        <v>700</v>
      </c>
      <c r="J1066" s="39" t="s">
        <v>678</v>
      </c>
      <c r="K1066" s="39" t="s">
        <v>679</v>
      </c>
      <c r="L1066" s="39" t="s">
        <v>680</v>
      </c>
      <c r="M1066" s="39">
        <v>0.9</v>
      </c>
      <c r="N1066" s="43"/>
    </row>
    <row r="1067" customHeight="1" spans="1:14">
      <c r="A1067" s="40">
        <v>707</v>
      </c>
      <c r="B1067" s="41" t="s">
        <v>820</v>
      </c>
      <c r="C1067" s="41" t="s">
        <v>691</v>
      </c>
      <c r="D1067" s="41" t="s">
        <v>641</v>
      </c>
      <c r="E1067" s="41" t="s">
        <v>658</v>
      </c>
      <c r="F1067" s="41" t="s">
        <v>2094</v>
      </c>
      <c r="G1067" s="41" t="s">
        <v>655</v>
      </c>
      <c r="H1067" s="41" t="s">
        <v>676</v>
      </c>
      <c r="I1067" s="41" t="s">
        <v>700</v>
      </c>
      <c r="J1067" s="41" t="s">
        <v>709</v>
      </c>
      <c r="K1067" s="41" t="s">
        <v>689</v>
      </c>
      <c r="L1067" s="41" t="s">
        <v>715</v>
      </c>
      <c r="M1067" s="41">
        <v>0</v>
      </c>
      <c r="N1067" s="44"/>
    </row>
    <row r="1068" customHeight="1" spans="1:14">
      <c r="A1068" s="38">
        <v>708</v>
      </c>
      <c r="B1068" s="39" t="s">
        <v>862</v>
      </c>
      <c r="C1068" s="39" t="s">
        <v>674</v>
      </c>
      <c r="D1068" s="39" t="s">
        <v>646</v>
      </c>
      <c r="E1068" s="39" t="s">
        <v>658</v>
      </c>
      <c r="F1068" s="39" t="s">
        <v>2095</v>
      </c>
      <c r="G1068" s="39" t="s">
        <v>653</v>
      </c>
      <c r="H1068" s="39" t="s">
        <v>718</v>
      </c>
      <c r="I1068" s="39" t="s">
        <v>688</v>
      </c>
      <c r="J1068" s="39" t="s">
        <v>709</v>
      </c>
      <c r="K1068" s="39" t="s">
        <v>689</v>
      </c>
      <c r="L1068" s="39" t="s">
        <v>719</v>
      </c>
      <c r="M1068" s="39">
        <v>0</v>
      </c>
      <c r="N1068" s="43"/>
    </row>
    <row r="1069" customHeight="1" spans="1:14">
      <c r="A1069" s="40">
        <v>709</v>
      </c>
      <c r="B1069" s="41" t="s">
        <v>1897</v>
      </c>
      <c r="C1069" s="41" t="s">
        <v>674</v>
      </c>
      <c r="D1069" s="41" t="s">
        <v>644</v>
      </c>
      <c r="E1069" s="41" t="s">
        <v>658</v>
      </c>
      <c r="F1069" s="41" t="s">
        <v>2096</v>
      </c>
      <c r="G1069" s="41" t="s">
        <v>652</v>
      </c>
      <c r="H1069" s="41" t="s">
        <v>683</v>
      </c>
      <c r="I1069" s="41" t="s">
        <v>708</v>
      </c>
      <c r="J1069" s="41" t="s">
        <v>709</v>
      </c>
      <c r="K1069" s="41" t="s">
        <v>732</v>
      </c>
      <c r="L1069" s="41" t="s">
        <v>719</v>
      </c>
      <c r="M1069" s="41">
        <v>0</v>
      </c>
      <c r="N1069" s="44"/>
    </row>
    <row r="1070" customHeight="1" spans="1:14">
      <c r="A1070" s="38">
        <v>710</v>
      </c>
      <c r="B1070" s="39" t="s">
        <v>768</v>
      </c>
      <c r="C1070" s="39" t="s">
        <v>674</v>
      </c>
      <c r="D1070" s="39" t="s">
        <v>647</v>
      </c>
      <c r="E1070" s="39" t="s">
        <v>657</v>
      </c>
      <c r="F1070" s="39" t="s">
        <v>2097</v>
      </c>
      <c r="G1070" s="39" t="s">
        <v>653</v>
      </c>
      <c r="H1070" s="39" t="s">
        <v>722</v>
      </c>
      <c r="I1070" s="39" t="s">
        <v>688</v>
      </c>
      <c r="J1070" s="39" t="s">
        <v>678</v>
      </c>
      <c r="K1070" s="39" t="s">
        <v>689</v>
      </c>
      <c r="L1070" s="39" t="s">
        <v>680</v>
      </c>
      <c r="M1070" s="39">
        <v>0.9</v>
      </c>
      <c r="N1070" s="43"/>
    </row>
    <row r="1071" customHeight="1" spans="1:14">
      <c r="A1071" s="40">
        <v>711</v>
      </c>
      <c r="B1071" s="41" t="s">
        <v>827</v>
      </c>
      <c r="C1071" s="41" t="s">
        <v>674</v>
      </c>
      <c r="D1071" s="41" t="s">
        <v>642</v>
      </c>
      <c r="E1071" s="41" t="s">
        <v>658</v>
      </c>
      <c r="F1071" s="41" t="s">
        <v>2098</v>
      </c>
      <c r="G1071" s="41" t="s">
        <v>653</v>
      </c>
      <c r="H1071" s="41" t="s">
        <v>727</v>
      </c>
      <c r="I1071" s="41" t="s">
        <v>693</v>
      </c>
      <c r="J1071" s="41" t="s">
        <v>678</v>
      </c>
      <c r="K1071" s="41" t="s">
        <v>732</v>
      </c>
      <c r="L1071" s="41" t="s">
        <v>695</v>
      </c>
      <c r="M1071" s="41">
        <v>0.6</v>
      </c>
      <c r="N1071" s="44"/>
    </row>
    <row r="1072" customHeight="1" spans="1:14">
      <c r="A1072" s="38">
        <v>712</v>
      </c>
      <c r="B1072" s="39" t="s">
        <v>802</v>
      </c>
      <c r="C1072" s="39" t="s">
        <v>691</v>
      </c>
      <c r="D1072" s="39" t="s">
        <v>647</v>
      </c>
      <c r="E1072" s="39" t="s">
        <v>657</v>
      </c>
      <c r="F1072" s="39" t="s">
        <v>2099</v>
      </c>
      <c r="G1072" s="39" t="s">
        <v>656</v>
      </c>
      <c r="H1072" s="39" t="s">
        <v>718</v>
      </c>
      <c r="I1072" s="39" t="s">
        <v>708</v>
      </c>
      <c r="J1072" s="39" t="s">
        <v>678</v>
      </c>
      <c r="K1072" s="39" t="s">
        <v>689</v>
      </c>
      <c r="L1072" s="39" t="s">
        <v>743</v>
      </c>
      <c r="M1072" s="39">
        <v>0</v>
      </c>
      <c r="N1072" s="43"/>
    </row>
    <row r="1073" customHeight="1" spans="1:14">
      <c r="A1073" s="40">
        <v>713</v>
      </c>
      <c r="B1073" s="41" t="s">
        <v>1042</v>
      </c>
      <c r="C1073" s="41" t="s">
        <v>691</v>
      </c>
      <c r="D1073" s="41" t="s">
        <v>641</v>
      </c>
      <c r="E1073" s="41" t="s">
        <v>658</v>
      </c>
      <c r="F1073" s="41" t="s">
        <v>2100</v>
      </c>
      <c r="G1073" s="41" t="s">
        <v>655</v>
      </c>
      <c r="H1073" s="41" t="s">
        <v>722</v>
      </c>
      <c r="I1073" s="41" t="s">
        <v>700</v>
      </c>
      <c r="J1073" s="41" t="s">
        <v>678</v>
      </c>
      <c r="K1073" s="41" t="s">
        <v>679</v>
      </c>
      <c r="L1073" s="41" t="s">
        <v>719</v>
      </c>
      <c r="M1073" s="41">
        <v>0</v>
      </c>
      <c r="N1073" s="44"/>
    </row>
    <row r="1074" customHeight="1" spans="1:14">
      <c r="A1074" s="38">
        <v>714</v>
      </c>
      <c r="B1074" s="39" t="s">
        <v>1153</v>
      </c>
      <c r="C1074" s="39" t="s">
        <v>674</v>
      </c>
      <c r="D1074" s="39" t="s">
        <v>642</v>
      </c>
      <c r="E1074" s="39" t="s">
        <v>651</v>
      </c>
      <c r="F1074" s="39" t="s">
        <v>2101</v>
      </c>
      <c r="G1074" s="39" t="s">
        <v>656</v>
      </c>
      <c r="H1074" s="39" t="s">
        <v>727</v>
      </c>
      <c r="I1074" s="39" t="s">
        <v>708</v>
      </c>
      <c r="J1074" s="39" t="s">
        <v>709</v>
      </c>
      <c r="K1074" s="39" t="s">
        <v>710</v>
      </c>
      <c r="L1074" s="39" t="s">
        <v>695</v>
      </c>
      <c r="M1074" s="39">
        <v>0.6</v>
      </c>
      <c r="N1074" s="43"/>
    </row>
  </sheetData>
  <mergeCells count="4">
    <mergeCell ref="R3:S4"/>
    <mergeCell ref="R6:T7"/>
    <mergeCell ref="R12:T13"/>
    <mergeCell ref="R9:T10"/>
  </mergeCells>
  <pageMargins left="0.67" right="0.67" top="0.72" bottom="0.72" header="0.29" footer="0.29"/>
  <pageSetup paperSize="1" orientation="portrait" useFirstPageNumber="1"/>
  <headerFooter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"/>
  <sheetViews>
    <sheetView workbookViewId="0">
      <selection activeCell="N21" sqref="N21"/>
    </sheetView>
  </sheetViews>
  <sheetFormatPr defaultColWidth="9.14423076923077" defaultRowHeight="15" customHeight="1"/>
  <cols>
    <col min="2" max="2" width="15.2788461538462" style="10" customWidth="1"/>
    <col min="3" max="9" width="14.8557692307692" style="10" customWidth="1"/>
    <col min="10" max="10" width="17.5769230769231" style="10" customWidth="1"/>
  </cols>
  <sheetData>
    <row r="1" s="3" customFormat="1" ht="22.5" customHeight="1" spans="2:10">
      <c r="B1" s="2" t="s">
        <v>2102</v>
      </c>
      <c r="E1" s="10"/>
      <c r="F1" s="10"/>
      <c r="G1" s="10"/>
      <c r="H1" s="10"/>
      <c r="I1" s="10"/>
      <c r="J1" s="10"/>
    </row>
    <row r="2" s="3" customFormat="1" ht="21" customHeight="1" spans="2:15">
      <c r="B2" s="21" t="s">
        <v>2103</v>
      </c>
      <c r="C2" s="22"/>
      <c r="D2" s="21" t="s">
        <v>624</v>
      </c>
      <c r="E2" s="22"/>
      <c r="F2" s="21" t="s">
        <v>2104</v>
      </c>
      <c r="G2" s="22"/>
      <c r="H2" s="21" t="s">
        <v>25</v>
      </c>
      <c r="I2" s="22"/>
      <c r="J2" s="21" t="s">
        <v>2105</v>
      </c>
      <c r="M2" s="29"/>
      <c r="N2" s="30"/>
      <c r="O2" s="10"/>
    </row>
    <row r="3" s="3" customFormat="1" ht="21" customHeight="1" spans="2:15">
      <c r="B3" s="23" t="s">
        <v>623</v>
      </c>
      <c r="C3" s="24"/>
      <c r="D3" s="24">
        <v>-12</v>
      </c>
      <c r="E3" s="24"/>
      <c r="F3" s="27"/>
      <c r="G3" s="24"/>
      <c r="H3" s="24">
        <v>20</v>
      </c>
      <c r="I3" s="24"/>
      <c r="J3" s="24" t="s">
        <v>2106</v>
      </c>
      <c r="M3" s="31"/>
      <c r="N3" s="32"/>
      <c r="O3" s="10"/>
    </row>
    <row r="4" s="3" customFormat="1" ht="21" customHeight="1" spans="2:15">
      <c r="B4" s="24" t="s">
        <v>2107</v>
      </c>
      <c r="C4" s="24"/>
      <c r="D4" s="24">
        <v>30</v>
      </c>
      <c r="E4" s="24"/>
      <c r="F4" s="27"/>
      <c r="G4" s="24"/>
      <c r="H4" s="24">
        <v>300</v>
      </c>
      <c r="I4" s="24"/>
      <c r="J4" s="24" t="s">
        <v>2108</v>
      </c>
      <c r="M4" s="10"/>
      <c r="N4" s="10"/>
      <c r="O4" s="10"/>
    </row>
    <row r="5" s="3" customFormat="1" ht="21" customHeight="1" spans="2:15">
      <c r="B5" s="24" t="s">
        <v>2109</v>
      </c>
      <c r="C5" s="24"/>
      <c r="D5" s="24">
        <v>80</v>
      </c>
      <c r="E5" s="24"/>
      <c r="F5" s="27"/>
      <c r="G5" s="24"/>
      <c r="H5" s="24">
        <v>2</v>
      </c>
      <c r="I5" s="24"/>
      <c r="J5" s="24" t="s">
        <v>2110</v>
      </c>
      <c r="M5" s="16"/>
      <c r="N5" s="16"/>
      <c r="O5" s="16"/>
    </row>
    <row r="6" s="3" customFormat="1" ht="21" customHeight="1" spans="2:15">
      <c r="B6" s="24" t="s">
        <v>2111</v>
      </c>
      <c r="C6" s="24"/>
      <c r="D6" s="24">
        <v>-35</v>
      </c>
      <c r="E6" s="24"/>
      <c r="F6" s="27"/>
      <c r="G6" s="24"/>
      <c r="H6" s="24">
        <v>-35</v>
      </c>
      <c r="I6" s="24"/>
      <c r="J6" s="24" t="s">
        <v>2112</v>
      </c>
      <c r="M6" s="17"/>
      <c r="N6" s="17"/>
      <c r="O6" s="17"/>
    </row>
    <row r="7" s="3" customFormat="1" ht="21" customHeight="1" spans="2:10">
      <c r="B7" s="24" t="s">
        <v>2113</v>
      </c>
      <c r="C7" s="24"/>
      <c r="D7" s="24">
        <v>66</v>
      </c>
      <c r="E7" s="24"/>
      <c r="F7" s="27"/>
      <c r="G7" s="24"/>
      <c r="H7" s="24">
        <v>287</v>
      </c>
      <c r="I7" s="24"/>
      <c r="J7" s="24" t="s">
        <v>2114</v>
      </c>
    </row>
    <row r="8" s="3" customFormat="1" customHeight="1" spans="2:15">
      <c r="B8" s="10"/>
      <c r="C8" s="10"/>
      <c r="D8" s="10"/>
      <c r="E8" s="10"/>
      <c r="F8" s="10"/>
      <c r="G8" s="10"/>
      <c r="H8" s="10"/>
      <c r="I8" s="10"/>
      <c r="J8" s="10"/>
      <c r="M8" s="16"/>
      <c r="N8" s="16"/>
      <c r="O8" s="16"/>
    </row>
    <row r="9" s="1" customFormat="1" ht="22.5" customHeight="1" spans="2:15">
      <c r="B9" s="2" t="s">
        <v>2115</v>
      </c>
      <c r="C9" s="3"/>
      <c r="D9" s="3"/>
      <c r="E9" s="10"/>
      <c r="F9" s="10"/>
      <c r="G9" s="10"/>
      <c r="H9" s="10"/>
      <c r="I9" s="10"/>
      <c r="J9" s="10"/>
      <c r="M9" s="17"/>
      <c r="N9" s="17"/>
      <c r="O9" s="17"/>
    </row>
    <row r="10" ht="21" customHeight="1" spans="2:10">
      <c r="B10" s="21" t="s">
        <v>2116</v>
      </c>
      <c r="D10" s="21" t="s">
        <v>2117</v>
      </c>
      <c r="F10" s="21" t="s">
        <v>2118</v>
      </c>
      <c r="H10" s="21" t="s">
        <v>2119</v>
      </c>
      <c r="J10" s="21" t="s">
        <v>2120</v>
      </c>
    </row>
    <row r="11" customHeight="1" spans="2:15">
      <c r="B11" s="10">
        <v>0</v>
      </c>
      <c r="D11" t="s">
        <v>2121</v>
      </c>
      <c r="F11">
        <v>50</v>
      </c>
      <c r="H11" s="10">
        <v>50</v>
      </c>
      <c r="J11" s="28"/>
      <c r="K11"/>
      <c r="M11" s="18"/>
      <c r="N11" s="18"/>
      <c r="O11" s="18"/>
    </row>
    <row r="12" customHeight="1" spans="2:15">
      <c r="B12" s="10">
        <v>1</v>
      </c>
      <c r="D12" t="s">
        <v>2122</v>
      </c>
      <c r="F12">
        <v>50</v>
      </c>
      <c r="H12" s="10">
        <v>50</v>
      </c>
      <c r="J12" s="28"/>
      <c r="K12"/>
      <c r="M12" s="19"/>
      <c r="N12" s="19"/>
      <c r="O12" s="19"/>
    </row>
    <row r="13" customHeight="1" spans="2:10">
      <c r="B13" s="10">
        <v>2</v>
      </c>
      <c r="D13" t="s">
        <v>2123</v>
      </c>
      <c r="F13">
        <v>11</v>
      </c>
      <c r="H13" s="10">
        <v>11</v>
      </c>
      <c r="J13" s="28"/>
    </row>
    <row r="14" customHeight="1" spans="2:15">
      <c r="B14" s="10">
        <v>3</v>
      </c>
      <c r="D14" t="s">
        <v>2124</v>
      </c>
      <c r="F14">
        <v>5</v>
      </c>
      <c r="H14" s="10">
        <v>5</v>
      </c>
      <c r="J14" s="28"/>
      <c r="K14"/>
      <c r="M14" s="16"/>
      <c r="N14" s="16"/>
      <c r="O14" s="16"/>
    </row>
    <row r="15" customHeight="1" spans="2:15">
      <c r="B15" s="10">
        <v>4</v>
      </c>
      <c r="D15" t="s">
        <v>2125</v>
      </c>
      <c r="F15">
        <v>50</v>
      </c>
      <c r="H15" s="10">
        <v>50</v>
      </c>
      <c r="J15" s="28"/>
      <c r="K15"/>
      <c r="M15" s="17"/>
      <c r="N15" s="17"/>
      <c r="O15" s="17"/>
    </row>
    <row r="16" customHeight="1" spans="2:10">
      <c r="B16" s="10">
        <v>5</v>
      </c>
      <c r="D16" t="s">
        <v>2126</v>
      </c>
      <c r="F16">
        <v>120</v>
      </c>
      <c r="H16" s="10">
        <v>120</v>
      </c>
      <c r="J16" s="28"/>
    </row>
    <row r="18" customHeight="1" spans="2:6">
      <c r="B18" s="25" t="s">
        <v>2127</v>
      </c>
      <c r="F18" s="25" t="s">
        <v>2128</v>
      </c>
    </row>
    <row r="19" customHeight="1" spans="2:8">
      <c r="B19">
        <v>0</v>
      </c>
      <c r="C19">
        <v>10</v>
      </c>
      <c r="D19">
        <v>20</v>
      </c>
      <c r="F19" s="10">
        <v>0</v>
      </c>
      <c r="G19" s="10">
        <v>10</v>
      </c>
      <c r="H19" s="10">
        <v>20</v>
      </c>
    </row>
    <row r="20" customHeight="1" spans="2:8">
      <c r="B20">
        <v>30</v>
      </c>
      <c r="C20">
        <v>40</v>
      </c>
      <c r="D20">
        <v>50</v>
      </c>
      <c r="F20" s="10">
        <v>30</v>
      </c>
      <c r="G20" s="10">
        <v>40</v>
      </c>
      <c r="H20" s="10">
        <v>50</v>
      </c>
    </row>
    <row r="21" customHeight="1" spans="2:15">
      <c r="B21">
        <v>60</v>
      </c>
      <c r="C21">
        <v>70</v>
      </c>
      <c r="D21">
        <v>80</v>
      </c>
      <c r="F21" s="10">
        <v>60</v>
      </c>
      <c r="G21" s="10">
        <v>70</v>
      </c>
      <c r="H21" s="10">
        <v>80</v>
      </c>
      <c r="M21" s="20"/>
      <c r="N21" s="20"/>
      <c r="O21" s="20"/>
    </row>
    <row r="22" customHeight="1" spans="13:15">
      <c r="M22" s="20"/>
      <c r="N22" s="20"/>
      <c r="O22" s="20"/>
    </row>
    <row r="23" customHeight="1" spans="2:2">
      <c r="B23" s="25" t="s">
        <v>2129</v>
      </c>
    </row>
    <row r="24" customHeight="1" spans="2:8">
      <c r="B24" s="26">
        <v>0</v>
      </c>
      <c r="C24" s="26">
        <v>10</v>
      </c>
      <c r="D24" s="26">
        <v>20</v>
      </c>
      <c r="F24" s="10">
        <v>0</v>
      </c>
      <c r="G24" s="10">
        <v>10</v>
      </c>
      <c r="H24" s="10">
        <v>20</v>
      </c>
    </row>
    <row r="25" customHeight="1" spans="2:8">
      <c r="B25" s="26">
        <v>30</v>
      </c>
      <c r="C25" s="26">
        <v>40</v>
      </c>
      <c r="D25" s="26">
        <v>50</v>
      </c>
      <c r="F25" s="10">
        <v>30</v>
      </c>
      <c r="G25" s="10">
        <v>40</v>
      </c>
      <c r="H25" s="10">
        <v>50</v>
      </c>
    </row>
    <row r="26" customHeight="1" spans="2:8">
      <c r="B26" s="26">
        <v>60</v>
      </c>
      <c r="C26" s="26">
        <v>70</v>
      </c>
      <c r="D26" s="26">
        <v>80</v>
      </c>
      <c r="F26" s="10">
        <v>60</v>
      </c>
      <c r="G26" s="10">
        <v>70</v>
      </c>
      <c r="H26" s="10">
        <v>80</v>
      </c>
    </row>
    <row r="28" customHeight="1" spans="2:8">
      <c r="B28" s="10">
        <v>0</v>
      </c>
      <c r="C28" s="10">
        <v>10</v>
      </c>
      <c r="D28" s="10">
        <v>20</v>
      </c>
      <c r="F28" s="10">
        <v>0</v>
      </c>
      <c r="G28" s="10">
        <v>10</v>
      </c>
      <c r="H28" s="10">
        <v>20</v>
      </c>
    </row>
    <row r="29" customHeight="1" spans="2:8">
      <c r="B29" s="10">
        <v>30</v>
      </c>
      <c r="C29" s="10">
        <v>40</v>
      </c>
      <c r="D29" s="10">
        <v>50</v>
      </c>
      <c r="F29" s="10">
        <v>30</v>
      </c>
      <c r="G29" s="10">
        <v>40</v>
      </c>
      <c r="H29" s="10">
        <v>50</v>
      </c>
    </row>
    <row r="30" customHeight="1" spans="2:8">
      <c r="B30" s="10">
        <v>60</v>
      </c>
      <c r="C30" s="10">
        <v>70</v>
      </c>
      <c r="D30" s="10">
        <v>80</v>
      </c>
      <c r="F30" s="10">
        <v>60</v>
      </c>
      <c r="G30" s="10">
        <v>70</v>
      </c>
      <c r="H30" s="10">
        <v>80</v>
      </c>
    </row>
  </sheetData>
  <mergeCells count="7">
    <mergeCell ref="B1:D1"/>
    <mergeCell ref="B9:D9"/>
    <mergeCell ref="M5:O6"/>
    <mergeCell ref="M2:N3"/>
    <mergeCell ref="M8:O9"/>
    <mergeCell ref="M11:O12"/>
    <mergeCell ref="M14:O15"/>
  </mergeCells>
  <conditionalFormatting sqref="B11:B16">
    <cfRule type="cellIs" dxfId="26" priority="11" operator="between">
      <formula>2</formula>
      <formula>4</formula>
    </cfRule>
  </conditionalFormatting>
  <conditionalFormatting sqref="D11:D16">
    <cfRule type="containsText" dxfId="27" priority="10" operator="between" text="est">
      <formula>NOT(ISERROR(SEARCH("est",D11)))</formula>
    </cfRule>
  </conditionalFormatting>
  <conditionalFormatting sqref="F11:F16">
    <cfRule type="uniqueValues" dxfId="28" priority="9"/>
  </conditionalFormatting>
  <conditionalFormatting sqref="H11:H16">
    <cfRule type="duplicateValues" dxfId="29" priority="8"/>
  </conditionalFormatting>
  <conditionalFormatting sqref="J11:J16">
    <cfRule type="timePeriod" dxfId="30" priority="7" timePeriod="nextMonth">
      <formula>AND(MONTH(J11)=MONTH(EDATE(TODAY(),0+1)),YEAR(J11)=YEAR(EDATE(TODAY(),0+1)))</formula>
    </cfRule>
  </conditionalFormatting>
  <conditionalFormatting sqref="B19:D21">
    <cfRule type="dataBar" priority="6">
      <dataBar>
        <cfvo type="min"/>
        <cfvo type="max"/>
        <color rgb="FF008000"/>
      </dataBar>
      <extLst>
        <ext xmlns:x14="http://schemas.microsoft.com/office/spreadsheetml/2009/9/main" uri="{B025F937-C7B1-47D3-B67F-A62EFF666E3E}">
          <x14:id>{4ff103e7-e5b4-432a-9e18-85330b0089ee}</x14:id>
        </ext>
      </extLst>
    </cfRule>
  </conditionalFormatting>
  <conditionalFormatting sqref="F19:H21">
    <cfRule type="colorScale" priority="5">
      <colorScale>
        <cfvo type="min"/>
        <cfvo type="percentile" val="50"/>
        <cfvo type="max"/>
        <color rgb="FFFF0000"/>
        <color rgb="FFFFFF00"/>
        <color rgb="FF008000"/>
      </colorScale>
    </cfRule>
  </conditionalFormatting>
  <conditionalFormatting sqref="B24:D2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4:H26">
    <cfRule type="iconSet" priority="3">
      <iconSet iconSet="3Signs">
        <cfvo type="percent" val="0"/>
        <cfvo type="percent" val="33"/>
        <cfvo type="percent" val="67"/>
      </iconSet>
    </cfRule>
  </conditionalFormatting>
  <conditionalFormatting sqref="B28:D30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F28:H30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5">
    <dataValidation type="custom" allowBlank="1" showInputMessage="1" showErrorMessage="1" promptTitle="数据验证：公式" prompt="请确保H5:H8的和不超过 100" sqref="H7">
      <formula1>SUM(数据验证与条件格式!$H$3:$H$6)&lt;100</formula1>
    </dataValidation>
    <dataValidation type="list" allowBlank="1" showInputMessage="1" showErrorMessage="1" promptTitle="数据验证：列表" prompt="请选择正确的部门！" sqref="B3:B7">
      <formula1>"产品部,销售部,市场部"</formula1>
    </dataValidation>
    <dataValidation type="whole" operator="greaterThan" allowBlank="1" showInputMessage="1" showErrorMessage="1" sqref="D3:D7" errorStyle="information">
      <formula1>0</formula1>
    </dataValidation>
    <dataValidation type="date" operator="lessThan" allowBlank="1" showInputMessage="1" showErrorMessage="1" sqref="F3:F7">
      <formula1>44927</formula1>
    </dataValidation>
    <dataValidation type="textLength" operator="lessThan" allowBlank="1" showInputMessage="1" showErrorMessage="1" promptTitle="数据验证：文本长度" prompt="文本长度超过 10" sqref="J3:J7">
      <formula1>10</formula1>
    </dataValidation>
  </dataValidations>
  <pageMargins left="0.67" right="0.67" top="0.72" bottom="0.72" header="0.29" footer="0.29"/>
  <pageSetup paperSize="1" orientation="portrait" useFirstPageNumber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103e7-e5b4-432a-9e18-85330b0089ee}">
            <x14:dataBar minLength="0" maxLength="100" negativeBarBorderColorSameAsPositive="0" direction="leftToRight"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B19:D21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6"/>
  <sheetViews>
    <sheetView tabSelected="1" workbookViewId="0">
      <selection activeCell="D20" sqref="D20"/>
    </sheetView>
  </sheetViews>
  <sheetFormatPr defaultColWidth="9.14423076923077" defaultRowHeight="15" customHeight="1"/>
  <cols>
    <col min="2" max="27" width="8" customWidth="1"/>
  </cols>
  <sheetData>
    <row r="1" s="1" customFormat="1" ht="22.5" customHeight="1" spans="2:26">
      <c r="B1" s="2" t="s">
        <v>2130</v>
      </c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2:31">
      <c r="B2" s="4"/>
      <c r="C2" s="5" t="s">
        <v>2131</v>
      </c>
      <c r="D2" s="5" t="s">
        <v>2132</v>
      </c>
      <c r="E2" s="5" t="s">
        <v>2133</v>
      </c>
      <c r="F2" s="5" t="s">
        <v>2134</v>
      </c>
      <c r="G2" s="5" t="s">
        <v>2135</v>
      </c>
      <c r="H2" s="5" t="s">
        <v>2136</v>
      </c>
      <c r="I2" s="11" t="s">
        <v>2137</v>
      </c>
      <c r="K2" s="4"/>
      <c r="L2" s="5" t="s">
        <v>2138</v>
      </c>
      <c r="AC2" s="14"/>
      <c r="AD2" s="14"/>
      <c r="AE2" s="10"/>
    </row>
    <row r="3" customHeight="1" spans="2:31">
      <c r="B3" s="6" t="s">
        <v>2139</v>
      </c>
      <c r="C3" s="7">
        <v>320</v>
      </c>
      <c r="D3" s="7">
        <v>302</v>
      </c>
      <c r="E3" s="7">
        <v>301</v>
      </c>
      <c r="F3" s="7">
        <v>334</v>
      </c>
      <c r="G3" s="7">
        <v>390</v>
      </c>
      <c r="H3" s="7">
        <v>330</v>
      </c>
      <c r="I3" s="12">
        <v>320</v>
      </c>
      <c r="K3" s="6" t="s">
        <v>2139</v>
      </c>
      <c r="L3" s="7">
        <f t="shared" ref="L3:L6" si="0">SUM(C3:H3)</f>
        <v>1977</v>
      </c>
      <c r="AC3" s="15"/>
      <c r="AD3" s="15"/>
      <c r="AE3" s="10"/>
    </row>
    <row r="4" customHeight="1" spans="2:31">
      <c r="B4" s="6" t="s">
        <v>2140</v>
      </c>
      <c r="C4" s="7">
        <v>120</v>
      </c>
      <c r="D4" s="7">
        <v>132</v>
      </c>
      <c r="E4" s="7">
        <v>101</v>
      </c>
      <c r="F4" s="7">
        <v>134</v>
      </c>
      <c r="G4" s="7">
        <v>90</v>
      </c>
      <c r="H4" s="7">
        <v>230</v>
      </c>
      <c r="I4" s="12">
        <v>210</v>
      </c>
      <c r="K4" s="6" t="s">
        <v>2140</v>
      </c>
      <c r="L4" s="7">
        <f t="shared" si="0"/>
        <v>807</v>
      </c>
      <c r="AC4" s="10"/>
      <c r="AD4" s="10"/>
      <c r="AE4" s="10"/>
    </row>
    <row r="5" customHeight="1" spans="2:31">
      <c r="B5" s="6" t="s">
        <v>2141</v>
      </c>
      <c r="C5" s="7">
        <v>220</v>
      </c>
      <c r="D5" s="7">
        <v>182</v>
      </c>
      <c r="E5" s="7">
        <v>191</v>
      </c>
      <c r="F5" s="7">
        <v>234</v>
      </c>
      <c r="G5" s="7">
        <v>290</v>
      </c>
      <c r="H5" s="7">
        <v>330</v>
      </c>
      <c r="I5" s="12">
        <v>310</v>
      </c>
      <c r="K5" s="6" t="s">
        <v>2141</v>
      </c>
      <c r="L5" s="7">
        <f t="shared" si="0"/>
        <v>1447</v>
      </c>
      <c r="AC5" s="16"/>
      <c r="AD5" s="16"/>
      <c r="AE5" s="16"/>
    </row>
    <row r="6" customHeight="1" spans="2:31">
      <c r="B6" s="8" t="s">
        <v>2142</v>
      </c>
      <c r="C6" s="9">
        <v>820</v>
      </c>
      <c r="D6" s="9">
        <v>832</v>
      </c>
      <c r="E6" s="9">
        <v>901</v>
      </c>
      <c r="F6" s="9">
        <v>934</v>
      </c>
      <c r="G6" s="9">
        <v>1290</v>
      </c>
      <c r="H6" s="9">
        <v>1330</v>
      </c>
      <c r="I6" s="13">
        <v>1320</v>
      </c>
      <c r="K6" s="8" t="s">
        <v>2142</v>
      </c>
      <c r="L6" s="7">
        <f t="shared" si="0"/>
        <v>6107</v>
      </c>
      <c r="AC6" s="17"/>
      <c r="AD6" s="17"/>
      <c r="AE6" s="17"/>
    </row>
    <row r="8" customHeight="1" spans="29:31">
      <c r="AC8" s="18"/>
      <c r="AD8" s="18"/>
      <c r="AE8" s="18"/>
    </row>
    <row r="9" customHeight="1" spans="29:31">
      <c r="AC9" s="19"/>
      <c r="AD9" s="19"/>
      <c r="AE9" s="19"/>
    </row>
    <row r="11" customHeight="1" spans="29:31">
      <c r="AC11" s="16"/>
      <c r="AD11" s="16"/>
      <c r="AE11" s="16"/>
    </row>
    <row r="12" customHeight="1" spans="29:31">
      <c r="AC12" s="17"/>
      <c r="AD12" s="17"/>
      <c r="AE12" s="17"/>
    </row>
    <row r="15" customHeight="1" spans="29:31">
      <c r="AC15" s="20"/>
      <c r="AD15" s="20"/>
      <c r="AE15" s="20"/>
    </row>
    <row r="16" customHeight="1" spans="29:31">
      <c r="AC16" s="20"/>
      <c r="AD16" s="20"/>
      <c r="AE16" s="20"/>
    </row>
  </sheetData>
  <mergeCells count="5">
    <mergeCell ref="B1:D1"/>
    <mergeCell ref="AC2:AD3"/>
    <mergeCell ref="AC5:AE6"/>
    <mergeCell ref="AC11:AE12"/>
    <mergeCell ref="AC8:AE9"/>
  </mergeCells>
  <pageMargins left="0.67" right="0.67" top="0.72" bottom="0.72" header="0.29" footer="0.29"/>
  <pageSetup paperSize="1" orientation="portrait" useFirstPageNumber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Evaluation Version</vt:lpstr>
      <vt:lpstr>目录索引</vt:lpstr>
      <vt:lpstr>500+ 公式函数支持</vt:lpstr>
      <vt:lpstr>丰富的单元格表现</vt:lpstr>
      <vt:lpstr>强大的数据透视表</vt:lpstr>
      <vt:lpstr>数据验证与条件格式</vt:lpstr>
      <vt:lpstr>与 Excel 兼容的图表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aldis</cp:lastModifiedBy>
  <dcterms:created xsi:type="dcterms:W3CDTF">2026-05-15T22:17:57Z</dcterms:created>
  <dcterms:modified xsi:type="dcterms:W3CDTF">2026-05-15T22:33:43Z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7C3971BA17FC4A6CAC2B076A6517265E_42</vt:lpwstr>
  </property>
  <property fmtid="{D5CDD505-2E9C-101B-9397-08002B2CF9AE}" pid="3" name="KSOProductBuildVer">
    <vt:lpwstr>2052-6.14.0.8924</vt:lpwstr>
  </property>
</Properties>
</file>